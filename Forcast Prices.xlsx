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5a82ebe2f91383/Desktop/"/>
    </mc:Choice>
  </mc:AlternateContent>
  <xr:revisionPtr revIDLastSave="2" documentId="8_{891EC68B-BEB9-4BC1-B571-120C66B270F6}" xr6:coauthVersionLast="47" xr6:coauthVersionMax="47" xr10:uidLastSave="{4DED549B-FC28-4418-BE8B-A5748EBEECB8}"/>
  <bookViews>
    <workbookView xWindow="-110" yWindow="-110" windowWidth="19420" windowHeight="10300" xr2:uid="{213B55C5-33C9-4993-9A82-5900994EACFF}"/>
  </bookViews>
  <sheets>
    <sheet name="Forecast Price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" i="1" l="1"/>
  <c r="W3" i="1"/>
  <c r="W5" i="1" s="1"/>
  <c r="P122" i="1"/>
  <c r="O122" i="1"/>
  <c r="N122" i="1"/>
  <c r="M122" i="1"/>
  <c r="L122" i="1"/>
  <c r="K122" i="1"/>
  <c r="I122" i="1"/>
  <c r="H122" i="1"/>
  <c r="J122" i="1" s="1"/>
  <c r="P121" i="1"/>
  <c r="O121" i="1"/>
  <c r="N121" i="1"/>
  <c r="M121" i="1"/>
  <c r="L121" i="1"/>
  <c r="K121" i="1"/>
  <c r="I121" i="1"/>
  <c r="H121" i="1"/>
  <c r="P120" i="1"/>
  <c r="O120" i="1"/>
  <c r="N120" i="1"/>
  <c r="M120" i="1"/>
  <c r="L120" i="1"/>
  <c r="K120" i="1"/>
  <c r="I120" i="1"/>
  <c r="H120" i="1"/>
  <c r="J120" i="1" s="1"/>
  <c r="P119" i="1"/>
  <c r="O119" i="1"/>
  <c r="N119" i="1"/>
  <c r="M119" i="1"/>
  <c r="L119" i="1"/>
  <c r="K119" i="1"/>
  <c r="I119" i="1"/>
  <c r="H119" i="1"/>
  <c r="J119" i="1" s="1"/>
  <c r="P118" i="1"/>
  <c r="O118" i="1"/>
  <c r="N118" i="1"/>
  <c r="M118" i="1"/>
  <c r="L118" i="1"/>
  <c r="K118" i="1"/>
  <c r="I118" i="1"/>
  <c r="H118" i="1"/>
  <c r="P117" i="1"/>
  <c r="O117" i="1"/>
  <c r="N117" i="1"/>
  <c r="M117" i="1"/>
  <c r="L117" i="1"/>
  <c r="K117" i="1"/>
  <c r="I117" i="1"/>
  <c r="H117" i="1"/>
  <c r="J117" i="1" s="1"/>
  <c r="P116" i="1"/>
  <c r="O116" i="1"/>
  <c r="N116" i="1"/>
  <c r="M116" i="1"/>
  <c r="L116" i="1"/>
  <c r="K116" i="1"/>
  <c r="I116" i="1"/>
  <c r="H116" i="1"/>
  <c r="J116" i="1" s="1"/>
  <c r="P115" i="1"/>
  <c r="O115" i="1"/>
  <c r="N115" i="1"/>
  <c r="M115" i="1"/>
  <c r="L115" i="1"/>
  <c r="K115" i="1"/>
  <c r="J115" i="1"/>
  <c r="I115" i="1"/>
  <c r="H115" i="1"/>
  <c r="P114" i="1"/>
  <c r="O114" i="1"/>
  <c r="N114" i="1"/>
  <c r="M114" i="1"/>
  <c r="L114" i="1"/>
  <c r="K114" i="1"/>
  <c r="I114" i="1"/>
  <c r="H114" i="1"/>
  <c r="J114" i="1" s="1"/>
  <c r="P113" i="1"/>
  <c r="O113" i="1"/>
  <c r="N113" i="1"/>
  <c r="M113" i="1"/>
  <c r="L113" i="1"/>
  <c r="K113" i="1"/>
  <c r="I113" i="1"/>
  <c r="H113" i="1"/>
  <c r="J113" i="1" s="1"/>
  <c r="P112" i="1"/>
  <c r="O112" i="1"/>
  <c r="N112" i="1"/>
  <c r="M112" i="1"/>
  <c r="L112" i="1"/>
  <c r="K112" i="1"/>
  <c r="I112" i="1"/>
  <c r="H112" i="1"/>
  <c r="P111" i="1"/>
  <c r="O111" i="1"/>
  <c r="N111" i="1"/>
  <c r="M111" i="1"/>
  <c r="L111" i="1"/>
  <c r="K111" i="1"/>
  <c r="I111" i="1"/>
  <c r="H111" i="1"/>
  <c r="J111" i="1" s="1"/>
  <c r="P110" i="1"/>
  <c r="O110" i="1"/>
  <c r="N110" i="1"/>
  <c r="M110" i="1"/>
  <c r="L110" i="1"/>
  <c r="K110" i="1"/>
  <c r="I110" i="1"/>
  <c r="H110" i="1"/>
  <c r="J110" i="1" s="1"/>
  <c r="P109" i="1"/>
  <c r="O109" i="1"/>
  <c r="N109" i="1"/>
  <c r="M109" i="1"/>
  <c r="L109" i="1"/>
  <c r="K109" i="1"/>
  <c r="I109" i="1"/>
  <c r="H109" i="1"/>
  <c r="P108" i="1"/>
  <c r="O108" i="1"/>
  <c r="N108" i="1"/>
  <c r="M108" i="1"/>
  <c r="L108" i="1"/>
  <c r="K108" i="1"/>
  <c r="I108" i="1"/>
  <c r="H108" i="1"/>
  <c r="J108" i="1" s="1"/>
  <c r="P107" i="1"/>
  <c r="O107" i="1"/>
  <c r="N107" i="1"/>
  <c r="M107" i="1"/>
  <c r="L107" i="1"/>
  <c r="K107" i="1"/>
  <c r="I107" i="1"/>
  <c r="H107" i="1"/>
  <c r="J107" i="1" s="1"/>
  <c r="P106" i="1"/>
  <c r="O106" i="1"/>
  <c r="N106" i="1"/>
  <c r="M106" i="1"/>
  <c r="L106" i="1"/>
  <c r="K106" i="1"/>
  <c r="I106" i="1"/>
  <c r="H106" i="1"/>
  <c r="P105" i="1"/>
  <c r="O105" i="1"/>
  <c r="N105" i="1"/>
  <c r="M105" i="1"/>
  <c r="L105" i="1"/>
  <c r="K105" i="1"/>
  <c r="I105" i="1"/>
  <c r="H105" i="1"/>
  <c r="J105" i="1" s="1"/>
  <c r="P104" i="1"/>
  <c r="O104" i="1"/>
  <c r="N104" i="1"/>
  <c r="M104" i="1"/>
  <c r="L104" i="1"/>
  <c r="K104" i="1"/>
  <c r="I104" i="1"/>
  <c r="H104" i="1"/>
  <c r="J104" i="1" s="1"/>
  <c r="P103" i="1"/>
  <c r="O103" i="1"/>
  <c r="N103" i="1"/>
  <c r="M103" i="1"/>
  <c r="L103" i="1"/>
  <c r="K103" i="1"/>
  <c r="I103" i="1"/>
  <c r="H103" i="1"/>
  <c r="P102" i="1"/>
  <c r="O102" i="1"/>
  <c r="N102" i="1"/>
  <c r="M102" i="1"/>
  <c r="L102" i="1"/>
  <c r="K102" i="1"/>
  <c r="I102" i="1"/>
  <c r="H102" i="1"/>
  <c r="J102" i="1" s="1"/>
  <c r="P101" i="1"/>
  <c r="O101" i="1"/>
  <c r="N101" i="1"/>
  <c r="M101" i="1"/>
  <c r="L101" i="1"/>
  <c r="K101" i="1"/>
  <c r="I101" i="1"/>
  <c r="H101" i="1"/>
  <c r="J101" i="1" s="1"/>
  <c r="P100" i="1"/>
  <c r="O100" i="1"/>
  <c r="N100" i="1"/>
  <c r="M100" i="1"/>
  <c r="L100" i="1"/>
  <c r="K100" i="1"/>
  <c r="I100" i="1"/>
  <c r="H100" i="1"/>
  <c r="P99" i="1"/>
  <c r="O99" i="1"/>
  <c r="N99" i="1"/>
  <c r="M99" i="1"/>
  <c r="L99" i="1"/>
  <c r="K99" i="1"/>
  <c r="I99" i="1"/>
  <c r="H99" i="1"/>
  <c r="J99" i="1" s="1"/>
  <c r="P98" i="1"/>
  <c r="O98" i="1"/>
  <c r="N98" i="1"/>
  <c r="M98" i="1"/>
  <c r="L98" i="1"/>
  <c r="K98" i="1"/>
  <c r="I98" i="1"/>
  <c r="H98" i="1"/>
  <c r="J98" i="1" s="1"/>
  <c r="P97" i="1"/>
  <c r="O97" i="1"/>
  <c r="N97" i="1"/>
  <c r="M97" i="1"/>
  <c r="L97" i="1"/>
  <c r="K97" i="1"/>
  <c r="I97" i="1"/>
  <c r="H97" i="1"/>
  <c r="P96" i="1"/>
  <c r="O96" i="1"/>
  <c r="N96" i="1"/>
  <c r="M96" i="1"/>
  <c r="L96" i="1"/>
  <c r="K96" i="1"/>
  <c r="I96" i="1"/>
  <c r="H96" i="1"/>
  <c r="J96" i="1" s="1"/>
  <c r="P95" i="1"/>
  <c r="O95" i="1"/>
  <c r="N95" i="1"/>
  <c r="M95" i="1"/>
  <c r="L95" i="1"/>
  <c r="K95" i="1"/>
  <c r="I95" i="1"/>
  <c r="H95" i="1"/>
  <c r="J95" i="1" s="1"/>
  <c r="P94" i="1"/>
  <c r="O94" i="1"/>
  <c r="N94" i="1"/>
  <c r="M94" i="1"/>
  <c r="L94" i="1"/>
  <c r="K94" i="1"/>
  <c r="I94" i="1"/>
  <c r="H94" i="1"/>
  <c r="P93" i="1"/>
  <c r="O93" i="1"/>
  <c r="N93" i="1"/>
  <c r="M93" i="1"/>
  <c r="L93" i="1"/>
  <c r="K93" i="1"/>
  <c r="I93" i="1"/>
  <c r="H93" i="1"/>
  <c r="J93" i="1" s="1"/>
  <c r="P92" i="1"/>
  <c r="O92" i="1"/>
  <c r="N92" i="1"/>
  <c r="M92" i="1"/>
  <c r="L92" i="1"/>
  <c r="K92" i="1"/>
  <c r="I92" i="1"/>
  <c r="H92" i="1"/>
  <c r="J92" i="1" s="1"/>
  <c r="P91" i="1"/>
  <c r="O91" i="1"/>
  <c r="N91" i="1"/>
  <c r="M91" i="1"/>
  <c r="L91" i="1"/>
  <c r="K91" i="1"/>
  <c r="I91" i="1"/>
  <c r="H91" i="1"/>
  <c r="P90" i="1"/>
  <c r="O90" i="1"/>
  <c r="N90" i="1"/>
  <c r="M90" i="1"/>
  <c r="L90" i="1"/>
  <c r="K90" i="1"/>
  <c r="I90" i="1"/>
  <c r="H90" i="1"/>
  <c r="J90" i="1" s="1"/>
  <c r="P89" i="1"/>
  <c r="O89" i="1"/>
  <c r="N89" i="1"/>
  <c r="M89" i="1"/>
  <c r="L89" i="1"/>
  <c r="K89" i="1"/>
  <c r="I89" i="1"/>
  <c r="H89" i="1"/>
  <c r="J89" i="1" s="1"/>
  <c r="P88" i="1"/>
  <c r="O88" i="1"/>
  <c r="N88" i="1"/>
  <c r="M88" i="1"/>
  <c r="L88" i="1"/>
  <c r="K88" i="1"/>
  <c r="I88" i="1"/>
  <c r="H88" i="1"/>
  <c r="P87" i="1"/>
  <c r="O87" i="1"/>
  <c r="N87" i="1"/>
  <c r="M87" i="1"/>
  <c r="L87" i="1"/>
  <c r="K87" i="1"/>
  <c r="I87" i="1"/>
  <c r="H87" i="1"/>
  <c r="J87" i="1" s="1"/>
  <c r="P86" i="1"/>
  <c r="O86" i="1"/>
  <c r="N86" i="1"/>
  <c r="M86" i="1"/>
  <c r="L86" i="1"/>
  <c r="K86" i="1"/>
  <c r="I86" i="1"/>
  <c r="H86" i="1"/>
  <c r="J86" i="1" s="1"/>
  <c r="P85" i="1"/>
  <c r="O85" i="1"/>
  <c r="N85" i="1"/>
  <c r="M85" i="1"/>
  <c r="L85" i="1"/>
  <c r="K85" i="1"/>
  <c r="I85" i="1"/>
  <c r="H85" i="1"/>
  <c r="P84" i="1"/>
  <c r="O84" i="1"/>
  <c r="N84" i="1"/>
  <c r="M84" i="1"/>
  <c r="L84" i="1"/>
  <c r="K84" i="1"/>
  <c r="I84" i="1"/>
  <c r="H84" i="1"/>
  <c r="J84" i="1" s="1"/>
  <c r="P83" i="1"/>
  <c r="O83" i="1"/>
  <c r="N83" i="1"/>
  <c r="M83" i="1"/>
  <c r="L83" i="1"/>
  <c r="K83" i="1"/>
  <c r="I83" i="1"/>
  <c r="H83" i="1"/>
  <c r="J83" i="1" s="1"/>
  <c r="P82" i="1"/>
  <c r="O82" i="1"/>
  <c r="N82" i="1"/>
  <c r="M82" i="1"/>
  <c r="L82" i="1"/>
  <c r="K82" i="1"/>
  <c r="I82" i="1"/>
  <c r="H82" i="1"/>
  <c r="P81" i="1"/>
  <c r="O81" i="1"/>
  <c r="N81" i="1"/>
  <c r="M81" i="1"/>
  <c r="L81" i="1"/>
  <c r="K81" i="1"/>
  <c r="I81" i="1"/>
  <c r="H81" i="1"/>
  <c r="J81" i="1" s="1"/>
  <c r="P80" i="1"/>
  <c r="O80" i="1"/>
  <c r="N80" i="1"/>
  <c r="M80" i="1"/>
  <c r="L80" i="1"/>
  <c r="K80" i="1"/>
  <c r="I80" i="1"/>
  <c r="H80" i="1"/>
  <c r="J80" i="1" s="1"/>
  <c r="P79" i="1"/>
  <c r="O79" i="1"/>
  <c r="N79" i="1"/>
  <c r="M79" i="1"/>
  <c r="L79" i="1"/>
  <c r="K79" i="1"/>
  <c r="I79" i="1"/>
  <c r="H79" i="1"/>
  <c r="P78" i="1"/>
  <c r="O78" i="1"/>
  <c r="N78" i="1"/>
  <c r="M78" i="1"/>
  <c r="L78" i="1"/>
  <c r="K78" i="1"/>
  <c r="I78" i="1"/>
  <c r="H78" i="1"/>
  <c r="J78" i="1" s="1"/>
  <c r="P77" i="1"/>
  <c r="O77" i="1"/>
  <c r="N77" i="1"/>
  <c r="M77" i="1"/>
  <c r="L77" i="1"/>
  <c r="K77" i="1"/>
  <c r="I77" i="1"/>
  <c r="H77" i="1"/>
  <c r="J77" i="1" s="1"/>
  <c r="P76" i="1"/>
  <c r="O76" i="1"/>
  <c r="N76" i="1"/>
  <c r="M76" i="1"/>
  <c r="L76" i="1"/>
  <c r="K76" i="1"/>
  <c r="I76" i="1"/>
  <c r="H76" i="1"/>
  <c r="P75" i="1"/>
  <c r="O75" i="1"/>
  <c r="N75" i="1"/>
  <c r="M75" i="1"/>
  <c r="L75" i="1"/>
  <c r="K75" i="1"/>
  <c r="I75" i="1"/>
  <c r="H75" i="1"/>
  <c r="J75" i="1" s="1"/>
  <c r="P74" i="1"/>
  <c r="O74" i="1"/>
  <c r="N74" i="1"/>
  <c r="M74" i="1"/>
  <c r="L74" i="1"/>
  <c r="K74" i="1"/>
  <c r="I74" i="1"/>
  <c r="H74" i="1"/>
  <c r="J74" i="1" s="1"/>
  <c r="P73" i="1"/>
  <c r="O73" i="1"/>
  <c r="N73" i="1"/>
  <c r="M73" i="1"/>
  <c r="L73" i="1"/>
  <c r="K73" i="1"/>
  <c r="J73" i="1"/>
  <c r="I73" i="1"/>
  <c r="H73" i="1"/>
  <c r="P72" i="1"/>
  <c r="O72" i="1"/>
  <c r="N72" i="1"/>
  <c r="M72" i="1"/>
  <c r="L72" i="1"/>
  <c r="K72" i="1"/>
  <c r="I72" i="1"/>
  <c r="H72" i="1"/>
  <c r="J72" i="1" s="1"/>
  <c r="Q71" i="1"/>
  <c r="P71" i="1"/>
  <c r="O71" i="1"/>
  <c r="N71" i="1"/>
  <c r="M71" i="1"/>
  <c r="L71" i="1"/>
  <c r="K71" i="1"/>
  <c r="I71" i="1"/>
  <c r="H71" i="1"/>
  <c r="J71" i="1" s="1"/>
  <c r="P70" i="1"/>
  <c r="O70" i="1"/>
  <c r="N70" i="1"/>
  <c r="M70" i="1"/>
  <c r="L70" i="1"/>
  <c r="K70" i="1"/>
  <c r="I70" i="1"/>
  <c r="H70" i="1"/>
  <c r="Q69" i="1"/>
  <c r="P69" i="1"/>
  <c r="O69" i="1"/>
  <c r="N69" i="1"/>
  <c r="M69" i="1"/>
  <c r="L69" i="1"/>
  <c r="K69" i="1"/>
  <c r="I69" i="1"/>
  <c r="H69" i="1"/>
  <c r="J69" i="1" s="1"/>
  <c r="P68" i="1"/>
  <c r="O68" i="1"/>
  <c r="N68" i="1"/>
  <c r="M68" i="1"/>
  <c r="L68" i="1"/>
  <c r="K68" i="1"/>
  <c r="I68" i="1"/>
  <c r="H68" i="1"/>
  <c r="J68" i="1" s="1"/>
  <c r="Q67" i="1"/>
  <c r="P67" i="1"/>
  <c r="O67" i="1"/>
  <c r="N67" i="1"/>
  <c r="M67" i="1"/>
  <c r="L67" i="1"/>
  <c r="K67" i="1"/>
  <c r="I67" i="1"/>
  <c r="H67" i="1"/>
  <c r="P66" i="1"/>
  <c r="O66" i="1"/>
  <c r="N66" i="1"/>
  <c r="M66" i="1"/>
  <c r="L66" i="1"/>
  <c r="K66" i="1"/>
  <c r="I66" i="1"/>
  <c r="H66" i="1"/>
  <c r="J66" i="1" s="1"/>
  <c r="Q65" i="1"/>
  <c r="P65" i="1"/>
  <c r="O65" i="1"/>
  <c r="N65" i="1"/>
  <c r="M65" i="1"/>
  <c r="L65" i="1"/>
  <c r="K65" i="1"/>
  <c r="I65" i="1"/>
  <c r="H65" i="1"/>
  <c r="J65" i="1" s="1"/>
  <c r="P64" i="1"/>
  <c r="O64" i="1"/>
  <c r="N64" i="1"/>
  <c r="M64" i="1"/>
  <c r="L64" i="1"/>
  <c r="K64" i="1"/>
  <c r="I64" i="1"/>
  <c r="H64" i="1"/>
  <c r="Q63" i="1"/>
  <c r="P63" i="1"/>
  <c r="O63" i="1"/>
  <c r="N63" i="1"/>
  <c r="M63" i="1"/>
  <c r="L63" i="1"/>
  <c r="K63" i="1"/>
  <c r="I63" i="1"/>
  <c r="H63" i="1"/>
  <c r="J63" i="1" s="1"/>
  <c r="P62" i="1"/>
  <c r="O62" i="1"/>
  <c r="N62" i="1"/>
  <c r="M62" i="1"/>
  <c r="L62" i="1"/>
  <c r="K62" i="1"/>
  <c r="I62" i="1"/>
  <c r="H62" i="1"/>
  <c r="J62" i="1" s="1"/>
  <c r="Q61" i="1"/>
  <c r="P61" i="1"/>
  <c r="O61" i="1"/>
  <c r="N61" i="1"/>
  <c r="M61" i="1"/>
  <c r="L61" i="1"/>
  <c r="K61" i="1"/>
  <c r="I61" i="1"/>
  <c r="H61" i="1"/>
  <c r="P60" i="1"/>
  <c r="O60" i="1"/>
  <c r="N60" i="1"/>
  <c r="M60" i="1"/>
  <c r="L60" i="1"/>
  <c r="K60" i="1"/>
  <c r="I60" i="1"/>
  <c r="H60" i="1"/>
  <c r="J60" i="1" s="1"/>
  <c r="Q59" i="1"/>
  <c r="P59" i="1"/>
  <c r="O59" i="1"/>
  <c r="N59" i="1"/>
  <c r="M59" i="1"/>
  <c r="L59" i="1"/>
  <c r="K59" i="1"/>
  <c r="I59" i="1"/>
  <c r="H59" i="1"/>
  <c r="J59" i="1" s="1"/>
  <c r="P58" i="1"/>
  <c r="O58" i="1"/>
  <c r="N58" i="1"/>
  <c r="M58" i="1"/>
  <c r="L58" i="1"/>
  <c r="K58" i="1"/>
  <c r="I58" i="1"/>
  <c r="H58" i="1"/>
  <c r="Q57" i="1"/>
  <c r="P57" i="1"/>
  <c r="O57" i="1"/>
  <c r="N57" i="1"/>
  <c r="M57" i="1"/>
  <c r="L57" i="1"/>
  <c r="K57" i="1"/>
  <c r="I57" i="1"/>
  <c r="H57" i="1"/>
  <c r="J57" i="1" s="1"/>
  <c r="P56" i="1"/>
  <c r="O56" i="1"/>
  <c r="N56" i="1"/>
  <c r="M56" i="1"/>
  <c r="L56" i="1"/>
  <c r="K56" i="1"/>
  <c r="I56" i="1"/>
  <c r="H56" i="1"/>
  <c r="J56" i="1" s="1"/>
  <c r="Q55" i="1"/>
  <c r="P55" i="1"/>
  <c r="O55" i="1"/>
  <c r="N55" i="1"/>
  <c r="M55" i="1"/>
  <c r="L55" i="1"/>
  <c r="K55" i="1"/>
  <c r="I55" i="1"/>
  <c r="H55" i="1"/>
  <c r="P54" i="1"/>
  <c r="O54" i="1"/>
  <c r="N54" i="1"/>
  <c r="M54" i="1"/>
  <c r="L54" i="1"/>
  <c r="K54" i="1"/>
  <c r="I54" i="1"/>
  <c r="H54" i="1"/>
  <c r="J54" i="1" s="1"/>
  <c r="Q53" i="1"/>
  <c r="P53" i="1"/>
  <c r="O53" i="1"/>
  <c r="N53" i="1"/>
  <c r="M53" i="1"/>
  <c r="L53" i="1"/>
  <c r="K53" i="1"/>
  <c r="I53" i="1"/>
  <c r="H53" i="1"/>
  <c r="J53" i="1" s="1"/>
  <c r="P52" i="1"/>
  <c r="O52" i="1"/>
  <c r="N52" i="1"/>
  <c r="M52" i="1"/>
  <c r="L52" i="1"/>
  <c r="K52" i="1"/>
  <c r="I52" i="1"/>
  <c r="H52" i="1"/>
  <c r="Q51" i="1"/>
  <c r="P51" i="1"/>
  <c r="O51" i="1"/>
  <c r="N51" i="1"/>
  <c r="M51" i="1"/>
  <c r="L51" i="1"/>
  <c r="K51" i="1"/>
  <c r="I51" i="1"/>
  <c r="H51" i="1"/>
  <c r="J51" i="1" s="1"/>
  <c r="P50" i="1"/>
  <c r="O50" i="1"/>
  <c r="N50" i="1"/>
  <c r="M50" i="1"/>
  <c r="L50" i="1"/>
  <c r="K50" i="1"/>
  <c r="I50" i="1"/>
  <c r="H50" i="1"/>
  <c r="J50" i="1" s="1"/>
  <c r="Q49" i="1"/>
  <c r="P49" i="1"/>
  <c r="O49" i="1"/>
  <c r="N49" i="1"/>
  <c r="M49" i="1"/>
  <c r="L49" i="1"/>
  <c r="K49" i="1"/>
  <c r="I49" i="1"/>
  <c r="H49" i="1"/>
  <c r="P48" i="1"/>
  <c r="O48" i="1"/>
  <c r="N48" i="1"/>
  <c r="M48" i="1"/>
  <c r="L48" i="1"/>
  <c r="K48" i="1"/>
  <c r="I48" i="1"/>
  <c r="H48" i="1"/>
  <c r="J48" i="1" s="1"/>
  <c r="Q47" i="1"/>
  <c r="P47" i="1"/>
  <c r="O47" i="1"/>
  <c r="N47" i="1"/>
  <c r="M47" i="1"/>
  <c r="L47" i="1"/>
  <c r="K47" i="1"/>
  <c r="I47" i="1"/>
  <c r="H47" i="1"/>
  <c r="J47" i="1" s="1"/>
  <c r="P46" i="1"/>
  <c r="O46" i="1"/>
  <c r="N46" i="1"/>
  <c r="M46" i="1"/>
  <c r="L46" i="1"/>
  <c r="K46" i="1"/>
  <c r="I46" i="1"/>
  <c r="H46" i="1"/>
  <c r="Q45" i="1"/>
  <c r="P45" i="1"/>
  <c r="O45" i="1"/>
  <c r="N45" i="1"/>
  <c r="M45" i="1"/>
  <c r="L45" i="1"/>
  <c r="K45" i="1"/>
  <c r="I45" i="1"/>
  <c r="H45" i="1"/>
  <c r="J45" i="1" s="1"/>
  <c r="P44" i="1"/>
  <c r="O44" i="1"/>
  <c r="N44" i="1"/>
  <c r="M44" i="1"/>
  <c r="L44" i="1"/>
  <c r="K44" i="1"/>
  <c r="I44" i="1"/>
  <c r="H44" i="1"/>
  <c r="J44" i="1" s="1"/>
  <c r="Q43" i="1"/>
  <c r="P43" i="1"/>
  <c r="O43" i="1"/>
  <c r="N43" i="1"/>
  <c r="M43" i="1"/>
  <c r="L43" i="1"/>
  <c r="K43" i="1"/>
  <c r="I43" i="1"/>
  <c r="H43" i="1"/>
  <c r="P42" i="1"/>
  <c r="O42" i="1"/>
  <c r="N42" i="1"/>
  <c r="M42" i="1"/>
  <c r="L42" i="1"/>
  <c r="K42" i="1"/>
  <c r="I42" i="1"/>
  <c r="H42" i="1"/>
  <c r="J42" i="1" s="1"/>
  <c r="Q41" i="1"/>
  <c r="P41" i="1"/>
  <c r="O41" i="1"/>
  <c r="N41" i="1"/>
  <c r="M41" i="1"/>
  <c r="L41" i="1"/>
  <c r="K41" i="1"/>
  <c r="I41" i="1"/>
  <c r="H41" i="1"/>
  <c r="J41" i="1" s="1"/>
  <c r="P40" i="1"/>
  <c r="O40" i="1"/>
  <c r="N40" i="1"/>
  <c r="M40" i="1"/>
  <c r="L40" i="1"/>
  <c r="K40" i="1"/>
  <c r="I40" i="1"/>
  <c r="H40" i="1"/>
  <c r="Q39" i="1"/>
  <c r="P39" i="1"/>
  <c r="O39" i="1"/>
  <c r="N39" i="1"/>
  <c r="M39" i="1"/>
  <c r="L39" i="1"/>
  <c r="K39" i="1"/>
  <c r="I39" i="1"/>
  <c r="H39" i="1"/>
  <c r="J39" i="1" s="1"/>
  <c r="P38" i="1"/>
  <c r="O38" i="1"/>
  <c r="N38" i="1"/>
  <c r="M38" i="1"/>
  <c r="L38" i="1"/>
  <c r="K38" i="1"/>
  <c r="I38" i="1"/>
  <c r="H38" i="1"/>
  <c r="J38" i="1" s="1"/>
  <c r="Q37" i="1"/>
  <c r="P37" i="1"/>
  <c r="O37" i="1"/>
  <c r="N37" i="1"/>
  <c r="M37" i="1"/>
  <c r="L37" i="1"/>
  <c r="K37" i="1"/>
  <c r="I37" i="1"/>
  <c r="H37" i="1"/>
  <c r="S36" i="1"/>
  <c r="P36" i="1"/>
  <c r="O36" i="1"/>
  <c r="N36" i="1"/>
  <c r="M36" i="1"/>
  <c r="L36" i="1"/>
  <c r="K36" i="1"/>
  <c r="I36" i="1"/>
  <c r="H36" i="1"/>
  <c r="J36" i="1" s="1"/>
  <c r="P35" i="1"/>
  <c r="O35" i="1"/>
  <c r="N35" i="1"/>
  <c r="M35" i="1"/>
  <c r="L35" i="1"/>
  <c r="K35" i="1"/>
  <c r="I35" i="1"/>
  <c r="H35" i="1"/>
  <c r="J35" i="1" s="1"/>
  <c r="P34" i="1"/>
  <c r="O34" i="1"/>
  <c r="N34" i="1"/>
  <c r="M34" i="1"/>
  <c r="L34" i="1"/>
  <c r="K34" i="1"/>
  <c r="I34" i="1"/>
  <c r="H34" i="1"/>
  <c r="P33" i="1"/>
  <c r="O33" i="1"/>
  <c r="N33" i="1"/>
  <c r="M33" i="1"/>
  <c r="L33" i="1"/>
  <c r="K33" i="1"/>
  <c r="I33" i="1"/>
  <c r="H33" i="1"/>
  <c r="J33" i="1" s="1"/>
  <c r="P32" i="1"/>
  <c r="O32" i="1"/>
  <c r="N32" i="1"/>
  <c r="M32" i="1"/>
  <c r="L32" i="1"/>
  <c r="K32" i="1"/>
  <c r="I32" i="1"/>
  <c r="H32" i="1"/>
  <c r="J32" i="1" s="1"/>
  <c r="P31" i="1"/>
  <c r="O31" i="1"/>
  <c r="N31" i="1"/>
  <c r="M31" i="1"/>
  <c r="L31" i="1"/>
  <c r="K31" i="1"/>
  <c r="I31" i="1"/>
  <c r="H31" i="1"/>
  <c r="P30" i="1"/>
  <c r="O30" i="1"/>
  <c r="N30" i="1"/>
  <c r="M30" i="1"/>
  <c r="L30" i="1"/>
  <c r="K30" i="1"/>
  <c r="I30" i="1"/>
  <c r="H30" i="1"/>
  <c r="J30" i="1" s="1"/>
  <c r="P29" i="1"/>
  <c r="O29" i="1"/>
  <c r="N29" i="1"/>
  <c r="M29" i="1"/>
  <c r="L29" i="1"/>
  <c r="K29" i="1"/>
  <c r="I29" i="1"/>
  <c r="H29" i="1"/>
  <c r="J29" i="1" s="1"/>
  <c r="P28" i="1"/>
  <c r="O28" i="1"/>
  <c r="N28" i="1"/>
  <c r="M28" i="1"/>
  <c r="L28" i="1"/>
  <c r="K28" i="1"/>
  <c r="I28" i="1"/>
  <c r="H28" i="1"/>
  <c r="P27" i="1"/>
  <c r="O27" i="1"/>
  <c r="N27" i="1"/>
  <c r="M27" i="1"/>
  <c r="L27" i="1"/>
  <c r="K27" i="1"/>
  <c r="I27" i="1"/>
  <c r="H27" i="1"/>
  <c r="J27" i="1" s="1"/>
  <c r="P26" i="1"/>
  <c r="O26" i="1"/>
  <c r="N26" i="1"/>
  <c r="M26" i="1"/>
  <c r="L26" i="1"/>
  <c r="K26" i="1"/>
  <c r="I26" i="1"/>
  <c r="H26" i="1"/>
  <c r="J26" i="1" s="1"/>
  <c r="P25" i="1"/>
  <c r="O25" i="1"/>
  <c r="N25" i="1"/>
  <c r="M25" i="1"/>
  <c r="L25" i="1"/>
  <c r="K25" i="1"/>
  <c r="I25" i="1"/>
  <c r="H25" i="1"/>
  <c r="P24" i="1"/>
  <c r="O24" i="1"/>
  <c r="N24" i="1"/>
  <c r="M24" i="1"/>
  <c r="L24" i="1"/>
  <c r="K24" i="1"/>
  <c r="I24" i="1"/>
  <c r="H24" i="1"/>
  <c r="J24" i="1" s="1"/>
  <c r="P23" i="1"/>
  <c r="O23" i="1"/>
  <c r="N23" i="1"/>
  <c r="M23" i="1"/>
  <c r="L23" i="1"/>
  <c r="K23" i="1"/>
  <c r="I23" i="1"/>
  <c r="H23" i="1"/>
  <c r="J23" i="1" s="1"/>
  <c r="P22" i="1"/>
  <c r="O22" i="1"/>
  <c r="N22" i="1"/>
  <c r="M22" i="1"/>
  <c r="L22" i="1"/>
  <c r="K22" i="1"/>
  <c r="I22" i="1"/>
  <c r="H22" i="1"/>
  <c r="S21" i="1"/>
  <c r="P21" i="1"/>
  <c r="O21" i="1"/>
  <c r="N21" i="1"/>
  <c r="M21" i="1"/>
  <c r="L21" i="1"/>
  <c r="K21" i="1"/>
  <c r="I21" i="1"/>
  <c r="H21" i="1"/>
  <c r="P20" i="1"/>
  <c r="O20" i="1"/>
  <c r="N20" i="1"/>
  <c r="M20" i="1"/>
  <c r="L20" i="1"/>
  <c r="K20" i="1"/>
  <c r="I20" i="1"/>
  <c r="H20" i="1"/>
  <c r="J20" i="1" s="1"/>
  <c r="P19" i="1"/>
  <c r="O19" i="1"/>
  <c r="N19" i="1"/>
  <c r="M19" i="1"/>
  <c r="L19" i="1"/>
  <c r="K19" i="1"/>
  <c r="I19" i="1"/>
  <c r="H19" i="1"/>
  <c r="J19" i="1" s="1"/>
  <c r="P18" i="1"/>
  <c r="O18" i="1"/>
  <c r="N18" i="1"/>
  <c r="M18" i="1"/>
  <c r="L18" i="1"/>
  <c r="K18" i="1"/>
  <c r="I18" i="1"/>
  <c r="H18" i="1"/>
  <c r="P17" i="1"/>
  <c r="O17" i="1"/>
  <c r="N17" i="1"/>
  <c r="M17" i="1"/>
  <c r="L17" i="1"/>
  <c r="K17" i="1"/>
  <c r="I17" i="1"/>
  <c r="H17" i="1"/>
  <c r="J17" i="1" s="1"/>
  <c r="P16" i="1"/>
  <c r="O16" i="1"/>
  <c r="N16" i="1"/>
  <c r="M16" i="1"/>
  <c r="L16" i="1"/>
  <c r="K16" i="1"/>
  <c r="I16" i="1"/>
  <c r="H16" i="1"/>
  <c r="J16" i="1" s="1"/>
  <c r="P15" i="1"/>
  <c r="O15" i="1"/>
  <c r="N15" i="1"/>
  <c r="M15" i="1"/>
  <c r="L15" i="1"/>
  <c r="K15" i="1"/>
  <c r="I15" i="1"/>
  <c r="H15" i="1"/>
  <c r="P14" i="1"/>
  <c r="O14" i="1"/>
  <c r="N14" i="1"/>
  <c r="M14" i="1"/>
  <c r="L14" i="1"/>
  <c r="K14" i="1"/>
  <c r="I14" i="1"/>
  <c r="H14" i="1"/>
  <c r="J14" i="1" s="1"/>
  <c r="P13" i="1"/>
  <c r="O13" i="1"/>
  <c r="N13" i="1"/>
  <c r="M13" i="1"/>
  <c r="L13" i="1"/>
  <c r="K13" i="1"/>
  <c r="I13" i="1"/>
  <c r="H13" i="1"/>
  <c r="J13" i="1" s="1"/>
  <c r="P12" i="1"/>
  <c r="O12" i="1"/>
  <c r="N12" i="1"/>
  <c r="M12" i="1"/>
  <c r="L12" i="1"/>
  <c r="K12" i="1"/>
  <c r="I12" i="1"/>
  <c r="H12" i="1"/>
  <c r="P11" i="1"/>
  <c r="O11" i="1"/>
  <c r="N11" i="1"/>
  <c r="M11" i="1"/>
  <c r="L11" i="1"/>
  <c r="K11" i="1"/>
  <c r="I11" i="1"/>
  <c r="H11" i="1"/>
  <c r="J11" i="1" s="1"/>
  <c r="O10" i="1"/>
  <c r="M10" i="1"/>
  <c r="K10" i="1"/>
  <c r="I10" i="1"/>
  <c r="H10" i="1"/>
  <c r="J10" i="1" s="1"/>
  <c r="O9" i="1"/>
  <c r="M9" i="1"/>
  <c r="K9" i="1"/>
  <c r="I9" i="1"/>
  <c r="H9" i="1"/>
  <c r="S8" i="1"/>
  <c r="Q8" i="1"/>
  <c r="O8" i="1"/>
  <c r="M8" i="1"/>
  <c r="K8" i="1"/>
  <c r="I8" i="1"/>
  <c r="H8" i="1"/>
  <c r="J8" i="1" s="1"/>
  <c r="Q7" i="1"/>
  <c r="O7" i="1"/>
  <c r="M7" i="1"/>
  <c r="K7" i="1"/>
  <c r="I7" i="1"/>
  <c r="H7" i="1"/>
  <c r="J7" i="1" s="1"/>
  <c r="Q6" i="1"/>
  <c r="O6" i="1"/>
  <c r="M6" i="1"/>
  <c r="K6" i="1"/>
  <c r="I6" i="1"/>
  <c r="H6" i="1"/>
  <c r="J6" i="1" s="1"/>
  <c r="Q5" i="1"/>
  <c r="O5" i="1"/>
  <c r="M5" i="1"/>
  <c r="I5" i="1"/>
  <c r="H5" i="1"/>
  <c r="J5" i="1" s="1"/>
  <c r="O4" i="1"/>
  <c r="M4" i="1"/>
  <c r="I4" i="1"/>
  <c r="H4" i="1"/>
  <c r="J4" i="1" s="1"/>
  <c r="O3" i="1"/>
  <c r="M3" i="1"/>
  <c r="I3" i="1"/>
  <c r="H3" i="1"/>
  <c r="J34" i="1" s="1"/>
  <c r="R122" i="1"/>
  <c r="R117" i="1"/>
  <c r="R116" i="1"/>
  <c r="R111" i="1"/>
  <c r="R110" i="1"/>
  <c r="R105" i="1"/>
  <c r="R104" i="1"/>
  <c r="R99" i="1"/>
  <c r="R98" i="1"/>
  <c r="R93" i="1"/>
  <c r="R92" i="1"/>
  <c r="R87" i="1"/>
  <c r="R86" i="1"/>
  <c r="R81" i="1"/>
  <c r="R80" i="1"/>
  <c r="R75" i="1"/>
  <c r="R74" i="1"/>
  <c r="R69" i="1"/>
  <c r="R68" i="1"/>
  <c r="R63" i="1"/>
  <c r="R62" i="1"/>
  <c r="R57" i="1"/>
  <c r="R56" i="1"/>
  <c r="R51" i="1"/>
  <c r="R50" i="1"/>
  <c r="R45" i="1"/>
  <c r="R44" i="1"/>
  <c r="R39" i="1"/>
  <c r="R38" i="1"/>
  <c r="R33" i="1"/>
  <c r="R32" i="1"/>
  <c r="R27" i="1"/>
  <c r="R26" i="1"/>
  <c r="R21" i="1"/>
  <c r="R20" i="1"/>
  <c r="R15" i="1"/>
  <c r="R14" i="1"/>
  <c r="R9" i="1"/>
  <c r="R8" i="1"/>
  <c r="R3" i="1"/>
  <c r="R2" i="1"/>
  <c r="R2" i="1" a="1"/>
  <c r="R121" i="1" s="1"/>
  <c r="O2" i="1"/>
  <c r="M2" i="1"/>
  <c r="J2" i="1"/>
  <c r="I2" i="1"/>
  <c r="H2" i="1"/>
  <c r="J121" i="1" s="1"/>
  <c r="Q40" i="1" l="1"/>
  <c r="Q44" i="1"/>
  <c r="Q50" i="1"/>
  <c r="Q54" i="1"/>
  <c r="Q56" i="1"/>
  <c r="Q60" i="1"/>
  <c r="Q64" i="1"/>
  <c r="Q68" i="1"/>
  <c r="Q72" i="1"/>
  <c r="Q11" i="1"/>
  <c r="Q13" i="1"/>
  <c r="Q15" i="1"/>
  <c r="Q17" i="1"/>
  <c r="Q19" i="1"/>
  <c r="Q21" i="1"/>
  <c r="Q74" i="1"/>
  <c r="Q76" i="1"/>
  <c r="Q78" i="1"/>
  <c r="Q80" i="1"/>
  <c r="Q82" i="1"/>
  <c r="Q84" i="1"/>
  <c r="Q86" i="1"/>
  <c r="Q88" i="1"/>
  <c r="Q90" i="1"/>
  <c r="Q92" i="1"/>
  <c r="Q94" i="1"/>
  <c r="Q96" i="1"/>
  <c r="Q98" i="1"/>
  <c r="Q100" i="1"/>
  <c r="Q102" i="1"/>
  <c r="Q104" i="1"/>
  <c r="Q106" i="1"/>
  <c r="Q108" i="1"/>
  <c r="Q110" i="1"/>
  <c r="Q112" i="1"/>
  <c r="Q114" i="1"/>
  <c r="Q4" i="1"/>
  <c r="Q9" i="1"/>
  <c r="Q12" i="1"/>
  <c r="Q14" i="1"/>
  <c r="Q18" i="1"/>
  <c r="Q20" i="1"/>
  <c r="Q73" i="1"/>
  <c r="Q75" i="1"/>
  <c r="Q77" i="1"/>
  <c r="Q79" i="1"/>
  <c r="Q83" i="1"/>
  <c r="Q85" i="1"/>
  <c r="Q87" i="1"/>
  <c r="Q89" i="1"/>
  <c r="Q91" i="1"/>
  <c r="Q93" i="1"/>
  <c r="Q95" i="1"/>
  <c r="Q97" i="1"/>
  <c r="Q99" i="1"/>
  <c r="Q101" i="1"/>
  <c r="Q103" i="1"/>
  <c r="Q105" i="1"/>
  <c r="Q107" i="1"/>
  <c r="Q109" i="1"/>
  <c r="Q111" i="1"/>
  <c r="Q113" i="1"/>
  <c r="Q2" i="1"/>
  <c r="Q38" i="1"/>
  <c r="Q42" i="1"/>
  <c r="Q46" i="1"/>
  <c r="Q48" i="1"/>
  <c r="Q52" i="1"/>
  <c r="Q58" i="1"/>
  <c r="Q62" i="1"/>
  <c r="Q66" i="1"/>
  <c r="Q70" i="1"/>
  <c r="Q23" i="1"/>
  <c r="Q25" i="1"/>
  <c r="Q27" i="1"/>
  <c r="Q29" i="1"/>
  <c r="Q31" i="1"/>
  <c r="Q33" i="1"/>
  <c r="Q35" i="1"/>
  <c r="Q116" i="1"/>
  <c r="Q118" i="1"/>
  <c r="Q120" i="1"/>
  <c r="Q122" i="1"/>
  <c r="Q10" i="1"/>
  <c r="Q16" i="1"/>
  <c r="Q81" i="1"/>
  <c r="Q3" i="1"/>
  <c r="Q22" i="1"/>
  <c r="Q24" i="1"/>
  <c r="Q26" i="1"/>
  <c r="Q28" i="1"/>
  <c r="Q30" i="1"/>
  <c r="Q32" i="1"/>
  <c r="Q34" i="1"/>
  <c r="Q36" i="1"/>
  <c r="Q115" i="1"/>
  <c r="Q117" i="1"/>
  <c r="Q119" i="1"/>
  <c r="Q121" i="1"/>
  <c r="J76" i="1"/>
  <c r="J79" i="1"/>
  <c r="J82" i="1"/>
  <c r="J85" i="1"/>
  <c r="J88" i="1"/>
  <c r="J106" i="1"/>
  <c r="J9" i="1"/>
  <c r="J15" i="1"/>
  <c r="J37" i="1"/>
  <c r="J40" i="1"/>
  <c r="J46" i="1"/>
  <c r="J61" i="1"/>
  <c r="J67" i="1"/>
  <c r="J70" i="1"/>
  <c r="J91" i="1"/>
  <c r="J94" i="1"/>
  <c r="J97" i="1"/>
  <c r="J100" i="1"/>
  <c r="J103" i="1"/>
  <c r="J109" i="1"/>
  <c r="J112" i="1"/>
  <c r="R4" i="1"/>
  <c r="R10" i="1"/>
  <c r="R16" i="1"/>
  <c r="R22" i="1"/>
  <c r="R28" i="1"/>
  <c r="R34" i="1"/>
  <c r="R40" i="1"/>
  <c r="R46" i="1"/>
  <c r="R52" i="1"/>
  <c r="R58" i="1"/>
  <c r="R64" i="1"/>
  <c r="R70" i="1"/>
  <c r="R76" i="1"/>
  <c r="R82" i="1"/>
  <c r="R88" i="1"/>
  <c r="R94" i="1"/>
  <c r="R100" i="1"/>
  <c r="R106" i="1"/>
  <c r="R112" i="1"/>
  <c r="R118" i="1"/>
  <c r="R5" i="1"/>
  <c r="R11" i="1"/>
  <c r="R17" i="1"/>
  <c r="R23" i="1"/>
  <c r="R29" i="1"/>
  <c r="R35" i="1"/>
  <c r="R41" i="1"/>
  <c r="R47" i="1"/>
  <c r="R53" i="1"/>
  <c r="R59" i="1"/>
  <c r="R65" i="1"/>
  <c r="R71" i="1"/>
  <c r="R77" i="1"/>
  <c r="R83" i="1"/>
  <c r="R89" i="1"/>
  <c r="R95" i="1"/>
  <c r="R101" i="1"/>
  <c r="R107" i="1"/>
  <c r="R113" i="1"/>
  <c r="R119" i="1"/>
  <c r="J3" i="1"/>
  <c r="J18" i="1"/>
  <c r="J49" i="1"/>
  <c r="J52" i="1"/>
  <c r="J55" i="1"/>
  <c r="J64" i="1"/>
  <c r="J118" i="1"/>
  <c r="R6" i="1"/>
  <c r="R12" i="1"/>
  <c r="R18" i="1"/>
  <c r="R24" i="1"/>
  <c r="R30" i="1"/>
  <c r="R36" i="1"/>
  <c r="R42" i="1"/>
  <c r="R48" i="1"/>
  <c r="R54" i="1"/>
  <c r="R60" i="1"/>
  <c r="R66" i="1"/>
  <c r="R72" i="1"/>
  <c r="R78" i="1"/>
  <c r="R84" i="1"/>
  <c r="R90" i="1"/>
  <c r="R96" i="1"/>
  <c r="R102" i="1"/>
  <c r="R108" i="1"/>
  <c r="R114" i="1"/>
  <c r="R120" i="1"/>
  <c r="J12" i="1"/>
  <c r="J21" i="1"/>
  <c r="J43" i="1"/>
  <c r="J58" i="1"/>
  <c r="R7" i="1"/>
  <c r="R13" i="1"/>
  <c r="R19" i="1"/>
  <c r="R25" i="1"/>
  <c r="R31" i="1"/>
  <c r="R37" i="1"/>
  <c r="R43" i="1"/>
  <c r="R49" i="1"/>
  <c r="R55" i="1"/>
  <c r="R61" i="1"/>
  <c r="R67" i="1"/>
  <c r="R73" i="1"/>
  <c r="R79" i="1"/>
  <c r="R85" i="1"/>
  <c r="R91" i="1"/>
  <c r="R97" i="1"/>
  <c r="R103" i="1"/>
  <c r="R109" i="1"/>
  <c r="R115" i="1"/>
  <c r="J22" i="1"/>
  <c r="J25" i="1"/>
  <c r="J28" i="1"/>
  <c r="J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SYEDA FATIMA</author>
  </authors>
  <commentList>
    <comment ref="H1" authorId="0" shapeId="0" xr:uid="{39444536-7486-4091-BCD2-3C830EA8C515}">
      <text>
        <r>
          <rPr>
            <b/>
            <sz val="9"/>
            <color indexed="81"/>
            <rFont val="Tahoma"/>
            <family val="2"/>
          </rPr>
          <t>SYEDA FATIMA:</t>
        </r>
        <r>
          <rPr>
            <sz val="9"/>
            <color indexed="81"/>
            <rFont val="Tahoma"/>
            <family val="2"/>
          </rPr>
          <t xml:space="preserve">
=TEXT(C2,"mmm-yy")
</t>
        </r>
      </text>
    </comment>
    <comment ref="I1" authorId="0" shapeId="0" xr:uid="{C22B1FEB-4612-46E5-87B9-08532DC7CCD8}">
      <text>
        <r>
          <rPr>
            <b/>
            <sz val="9"/>
            <color indexed="81"/>
            <rFont val="Tahoma"/>
            <family val="2"/>
          </rPr>
          <t>SYEDA FATIMA:</t>
        </r>
        <r>
          <rPr>
            <sz val="9"/>
            <color indexed="81"/>
            <rFont val="Tahoma"/>
            <family val="2"/>
          </rPr>
          <t xml:space="preserve">
=((G3 - G2) / G2)
</t>
        </r>
      </text>
    </comment>
    <comment ref="J1" authorId="0" shapeId="0" xr:uid="{0BD2FE4C-D767-4EDF-A77F-85E23C982F13}">
      <text>
        <r>
          <rPr>
            <b/>
            <sz val="9"/>
            <color indexed="81"/>
            <rFont val="Tahoma"/>
            <family val="2"/>
          </rPr>
          <t>SYEDA FATIMA:</t>
        </r>
        <r>
          <rPr>
            <sz val="9"/>
            <color indexed="81"/>
            <rFont val="Tahoma"/>
            <family val="2"/>
          </rPr>
          <t xml:space="preserve">
=AVERAGEIF($H$2:$H$122,H2,$G$2:$G$122)</t>
        </r>
      </text>
    </comment>
    <comment ref="K1" authorId="0" shapeId="0" xr:uid="{628E4185-33C4-499E-B1F9-35FA4BCBD6C7}">
      <text>
        <r>
          <rPr>
            <b/>
            <sz val="9"/>
            <color indexed="81"/>
            <rFont val="Tahoma"/>
            <family val="2"/>
          </rPr>
          <t>SYEDA FATIMA:</t>
        </r>
        <r>
          <rPr>
            <sz val="9"/>
            <color indexed="81"/>
            <rFont val="Tahoma"/>
            <family val="2"/>
          </rPr>
          <t xml:space="preserve">
=IF(COUNTA(G2:G6)&lt;5,"",AVERAGE(G2:G6))
</t>
        </r>
      </text>
    </comment>
    <comment ref="L1" authorId="0" shapeId="0" xr:uid="{94F88FDD-DDD8-482D-A95B-FFC0DA13EC50}">
      <text>
        <r>
          <rPr>
            <b/>
            <sz val="9"/>
            <color indexed="81"/>
            <rFont val="Tahoma"/>
            <family val="2"/>
          </rPr>
          <t>SYEDA FATIMA:</t>
        </r>
        <r>
          <rPr>
            <sz val="9"/>
            <color indexed="81"/>
            <rFont val="Tahoma"/>
            <family val="2"/>
          </rPr>
          <t xml:space="preserve">
=IF(COUNTA(G2:G11)&lt;10,"",AVERAGE(G2:G11))</t>
        </r>
      </text>
    </comment>
    <comment ref="M1" authorId="0" shapeId="0" xr:uid="{BBA0F20E-1959-432A-AE06-12381A3154D4}">
      <text>
        <r>
          <rPr>
            <b/>
            <sz val="9"/>
            <color indexed="81"/>
            <rFont val="Tahoma"/>
            <family val="2"/>
          </rPr>
          <t>SYEDA FATIMA:</t>
        </r>
        <r>
          <rPr>
            <sz val="9"/>
            <color indexed="81"/>
            <rFont val="Tahoma"/>
            <family val="2"/>
          </rPr>
          <t xml:space="preserve">
=E2-F2</t>
        </r>
      </text>
    </comment>
    <comment ref="N1" authorId="0" shapeId="0" xr:uid="{D4466C2C-717E-4E20-8212-8C75246647F0}">
      <text>
        <r>
          <rPr>
            <b/>
            <sz val="9"/>
            <color indexed="81"/>
            <rFont val="Tahoma"/>
            <family val="2"/>
          </rPr>
          <t>SYEDA FATIMA:</t>
        </r>
        <r>
          <rPr>
            <sz val="9"/>
            <color indexed="81"/>
            <rFont val="Tahoma"/>
            <family val="2"/>
          </rPr>
          <t xml:space="preserve">
=STDEV(G2:G11)</t>
        </r>
      </text>
    </comment>
    <comment ref="O1" authorId="0" shapeId="0" xr:uid="{E1DD58DE-0D36-450B-A541-90705DB45F9F}">
      <text>
        <r>
          <rPr>
            <b/>
            <sz val="9"/>
            <color indexed="81"/>
            <rFont val="Tahoma"/>
            <family val="2"/>
          </rPr>
          <t>SYEDA FATIMA:</t>
        </r>
        <r>
          <rPr>
            <sz val="9"/>
            <color indexed="81"/>
            <rFont val="Tahoma"/>
            <family val="2"/>
          </rPr>
          <t xml:space="preserve">
=F2+1</t>
        </r>
      </text>
    </comment>
    <comment ref="P1" authorId="0" shapeId="0" xr:uid="{D93FE543-1348-4372-B0A9-764859720C18}">
      <text>
        <r>
          <rPr>
            <b/>
            <sz val="9"/>
            <color indexed="81"/>
            <rFont val="Tahoma"/>
            <family val="2"/>
          </rPr>
          <t>SYEDA FATIMA:</t>
        </r>
        <r>
          <rPr>
            <sz val="9"/>
            <color indexed="81"/>
            <rFont val="Tahoma"/>
            <family val="2"/>
          </rPr>
          <t xml:space="preserve">
=IF(COUNTA(G2:G13)&lt;12,"",AVERAGE(G2:G13))</t>
        </r>
      </text>
    </comment>
    <comment ref="Q1" authorId="0" shapeId="0" xr:uid="{3A106771-B315-4744-B6F2-A9BC877AF08B}">
      <text>
        <r>
          <rPr>
            <b/>
            <sz val="9"/>
            <color indexed="81"/>
            <rFont val="Tahoma"/>
            <family val="2"/>
          </rPr>
          <t>SYEDA FATIMA:</t>
        </r>
        <r>
          <rPr>
            <sz val="9"/>
            <color indexed="81"/>
            <rFont val="Tahoma"/>
            <family val="2"/>
          </rPr>
          <t xml:space="preserve">
=($W$3 * D2) + $W$3</t>
        </r>
      </text>
    </comment>
    <comment ref="R1" authorId="0" shapeId="0" xr:uid="{0AFDCC85-3FE4-414E-9C51-D42C8675130B}">
      <text>
        <r>
          <rPr>
            <b/>
            <sz val="9"/>
            <color indexed="81"/>
            <rFont val="Tahoma"/>
            <family val="2"/>
          </rPr>
          <t>SYEDA FATIMA:</t>
        </r>
        <r>
          <rPr>
            <sz val="9"/>
            <color indexed="81"/>
            <rFont val="Tahoma"/>
            <family val="2"/>
          </rPr>
          <t xml:space="preserve">
=FORECAST.LINEAR(C2:C122, G2:G122, A2:A122)</t>
        </r>
      </text>
    </comment>
    <comment ref="S1" authorId="0" shapeId="0" xr:uid="{78C3B7AE-E5B1-4AD6-9FAE-3D363F1630E2}">
      <text>
        <r>
          <rPr>
            <b/>
            <sz val="9"/>
            <color indexed="81"/>
            <rFont val="Tahoma"/>
            <family val="2"/>
          </rPr>
          <t>SYEDA FATIMA:</t>
        </r>
        <r>
          <rPr>
            <sz val="9"/>
            <color indexed="81"/>
            <rFont val="Tahoma"/>
            <family val="2"/>
          </rPr>
          <t xml:space="preserve">
=SUM(S3:S7)/5</t>
        </r>
      </text>
    </comment>
    <comment ref="V3" authorId="0" shapeId="0" xr:uid="{91830ED9-3689-47E6-9C46-D1F094C77E50}">
      <text>
        <r>
          <rPr>
            <b/>
            <sz val="9"/>
            <color indexed="81"/>
            <rFont val="Tahoma"/>
            <family val="2"/>
          </rPr>
          <t>SYEDA FATIMA:</t>
        </r>
        <r>
          <rPr>
            <sz val="9"/>
            <color indexed="81"/>
            <rFont val="Tahoma"/>
            <family val="2"/>
          </rPr>
          <t xml:space="preserve">
=SLOPE(G2:G122, D2:D122)</t>
        </r>
      </text>
    </comment>
    <comment ref="V4" authorId="0" shapeId="0" xr:uid="{8584B04B-A4D5-45A4-AAF7-347B9D48C34C}">
      <text>
        <r>
          <rPr>
            <b/>
            <sz val="9"/>
            <color indexed="81"/>
            <rFont val="Tahoma"/>
            <family val="2"/>
          </rPr>
          <t>SYEDA FATIMA:</t>
        </r>
        <r>
          <rPr>
            <sz val="9"/>
            <color indexed="81"/>
            <rFont val="Tahoma"/>
            <family val="2"/>
          </rPr>
          <t xml:space="preserve">
=INTERCEPT(G2:G122, D2:D122)</t>
        </r>
      </text>
    </comment>
    <comment ref="V5" authorId="0" shapeId="0" xr:uid="{1556C050-5B74-48F3-B1D5-04986E2780B2}">
      <text>
        <r>
          <rPr>
            <b/>
            <sz val="9"/>
            <color indexed="81"/>
            <rFont val="Tahoma"/>
            <family val="2"/>
          </rPr>
          <t>SYEDA FATIMA:</t>
        </r>
        <r>
          <rPr>
            <sz val="9"/>
            <color indexed="81"/>
            <rFont val="Tahoma"/>
            <family val="2"/>
          </rPr>
          <t xml:space="preserve">
=($W$3 * D2) + $W$3</t>
        </r>
      </text>
    </comment>
    <comment ref="S10" authorId="0" shapeId="0" xr:uid="{82993D46-DE1A-47B4-9644-9176AA9C241D}">
      <text>
        <r>
          <rPr>
            <b/>
            <sz val="9"/>
            <color indexed="81"/>
            <rFont val="Tahoma"/>
            <family val="2"/>
          </rPr>
          <t>SYEDA FATIMA:</t>
        </r>
        <r>
          <rPr>
            <sz val="9"/>
            <color indexed="81"/>
            <rFont val="Tahoma"/>
            <family val="2"/>
          </rPr>
          <t xml:space="preserve">
=SUM(S11:S20)/10</t>
        </r>
      </text>
    </comment>
    <comment ref="S23" authorId="0" shapeId="0" xr:uid="{B6A11816-9858-44CA-9ADB-0771172C7889}">
      <text>
        <r>
          <rPr>
            <b/>
            <sz val="9"/>
            <color indexed="81"/>
            <rFont val="Tahoma"/>
            <family val="2"/>
          </rPr>
          <t>SYEDA FATIMA:</t>
        </r>
        <r>
          <rPr>
            <sz val="9"/>
            <color indexed="81"/>
            <rFont val="Tahoma"/>
            <family val="2"/>
          </rPr>
          <t xml:space="preserve">
=SUM(S24:S35)/12</t>
        </r>
      </text>
    </comment>
  </commentList>
</comments>
</file>

<file path=xl/sharedStrings.xml><?xml version="1.0" encoding="utf-8"?>
<sst xmlns="http://schemas.openxmlformats.org/spreadsheetml/2006/main" count="30" uniqueCount="27">
  <si>
    <t>Assign Date Index</t>
  </si>
  <si>
    <t>yearly</t>
  </si>
  <si>
    <t>Date</t>
  </si>
  <si>
    <t>Open</t>
  </si>
  <si>
    <t>High</t>
  </si>
  <si>
    <t>Low</t>
  </si>
  <si>
    <t>Close</t>
  </si>
  <si>
    <t>Month</t>
  </si>
  <si>
    <t>Daily Return %</t>
  </si>
  <si>
    <t>Monthly Avg Close</t>
  </si>
  <si>
    <t>MA(4)</t>
  </si>
  <si>
    <t>MA(10)</t>
  </si>
  <si>
    <t>High-Low Range</t>
  </si>
  <si>
    <t>Volatility (10-day)</t>
  </si>
  <si>
    <t>Forecast Date Index</t>
  </si>
  <si>
    <t xml:space="preserve">MA(12) </t>
  </si>
  <si>
    <t>Forecast</t>
  </si>
  <si>
    <t>Simple Linear Regression Forecast</t>
  </si>
  <si>
    <t>MA(5) forecast</t>
  </si>
  <si>
    <t>MA(n)=
n
Sum of last n data points
	​</t>
  </si>
  <si>
    <t>Forecast=(Slope×Date Index)+Intercept</t>
  </si>
  <si>
    <t>OPEN/CLOSE</t>
  </si>
  <si>
    <t>Slope</t>
  </si>
  <si>
    <t>Beyond the data that is now available, linear regression can foresee and catch trends.</t>
  </si>
  <si>
    <t>Intercept</t>
  </si>
  <si>
    <t>MA(4) responds rapidly to current price fluctuations.</t>
  </si>
  <si>
    <t>Although MA(12) reduces volatility, it lags when patterns shift.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</si>
</sst>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3" fillId="0" borderId="0" xfId="0" applyFont="1"/>
    <xf numFmtId="2" fontId="3" fillId="0" borderId="0" xfId="1" applyNumberFormat="1" applyFont="1"/>
    <xf numFmtId="2" fontId="3" fillId="2" borderId="0" xfId="0" applyNumberFormat="1" applyFont="1" applyFill="1"/>
    <xf numFmtId="0" fontId="3" fillId="2" borderId="0" xfId="0" applyFont="1" applyFill="1"/>
    <xf numFmtId="0" fontId="0" fillId="2" borderId="0" xfId="0" applyFill="1"/>
    <xf numFmtId="14" fontId="3" fillId="0" borderId="0" xfId="0" applyNumberFormat="1" applyFont="1"/>
    <xf numFmtId="2" fontId="3" fillId="0" borderId="0" xfId="0" applyNumberFormat="1" applyFont="1"/>
    <xf numFmtId="0" fontId="3" fillId="3" borderId="0" xfId="0" applyFont="1" applyFill="1"/>
    <xf numFmtId="2" fontId="0" fillId="0" borderId="0" xfId="0" applyNumberFormat="1"/>
    <xf numFmtId="0" fontId="3" fillId="4" borderId="0" xfId="0" applyFont="1" applyFill="1"/>
    <xf numFmtId="0" fontId="0" fillId="5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Volatility and High–Low Range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'[1]Week 7 Answer Sheet'!$M$1</c:f>
              <c:strCache>
                <c:ptCount val="1"/>
                <c:pt idx="0">
                  <c:v>High-Low Range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f>'[1]Week 7 Answer Sheet'!$C$2:$C$122</c:f>
              <c:numCache>
                <c:formatCode>m/d/yyyy</c:formatCode>
                <c:ptCount val="121"/>
                <c:pt idx="0">
                  <c:v>41821</c:v>
                </c:pt>
                <c:pt idx="1">
                  <c:v>41852</c:v>
                </c:pt>
                <c:pt idx="2">
                  <c:v>41883</c:v>
                </c:pt>
                <c:pt idx="3">
                  <c:v>41913</c:v>
                </c:pt>
                <c:pt idx="4">
                  <c:v>41944</c:v>
                </c:pt>
                <c:pt idx="5">
                  <c:v>41974</c:v>
                </c:pt>
                <c:pt idx="6">
                  <c:v>42005</c:v>
                </c:pt>
                <c:pt idx="7">
                  <c:v>42036</c:v>
                </c:pt>
                <c:pt idx="8">
                  <c:v>42064</c:v>
                </c:pt>
                <c:pt idx="9">
                  <c:v>42095</c:v>
                </c:pt>
                <c:pt idx="10">
                  <c:v>42125</c:v>
                </c:pt>
                <c:pt idx="11">
                  <c:v>42156</c:v>
                </c:pt>
                <c:pt idx="12">
                  <c:v>42186</c:v>
                </c:pt>
                <c:pt idx="13">
                  <c:v>42217</c:v>
                </c:pt>
                <c:pt idx="14">
                  <c:v>42248</c:v>
                </c:pt>
                <c:pt idx="15">
                  <c:v>42278</c:v>
                </c:pt>
                <c:pt idx="16">
                  <c:v>42309</c:v>
                </c:pt>
                <c:pt idx="17">
                  <c:v>42339</c:v>
                </c:pt>
                <c:pt idx="18">
                  <c:v>42370</c:v>
                </c:pt>
                <c:pt idx="19">
                  <c:v>42401</c:v>
                </c:pt>
                <c:pt idx="20">
                  <c:v>42430</c:v>
                </c:pt>
                <c:pt idx="21">
                  <c:v>42461</c:v>
                </c:pt>
                <c:pt idx="22">
                  <c:v>42491</c:v>
                </c:pt>
                <c:pt idx="23">
                  <c:v>42522</c:v>
                </c:pt>
                <c:pt idx="24">
                  <c:v>42552</c:v>
                </c:pt>
                <c:pt idx="25">
                  <c:v>42583</c:v>
                </c:pt>
                <c:pt idx="26">
                  <c:v>42614</c:v>
                </c:pt>
                <c:pt idx="27">
                  <c:v>42644</c:v>
                </c:pt>
                <c:pt idx="28">
                  <c:v>42675</c:v>
                </c:pt>
                <c:pt idx="29">
                  <c:v>42705</c:v>
                </c:pt>
                <c:pt idx="30">
                  <c:v>42736</c:v>
                </c:pt>
                <c:pt idx="31">
                  <c:v>42767</c:v>
                </c:pt>
                <c:pt idx="32">
                  <c:v>42795</c:v>
                </c:pt>
                <c:pt idx="33">
                  <c:v>42826</c:v>
                </c:pt>
                <c:pt idx="34">
                  <c:v>42856</c:v>
                </c:pt>
                <c:pt idx="35">
                  <c:v>42887</c:v>
                </c:pt>
                <c:pt idx="36">
                  <c:v>42917</c:v>
                </c:pt>
                <c:pt idx="37">
                  <c:v>42948</c:v>
                </c:pt>
                <c:pt idx="38">
                  <c:v>42979</c:v>
                </c:pt>
                <c:pt idx="39">
                  <c:v>43009</c:v>
                </c:pt>
                <c:pt idx="40">
                  <c:v>43040</c:v>
                </c:pt>
                <c:pt idx="41">
                  <c:v>43070</c:v>
                </c:pt>
                <c:pt idx="42">
                  <c:v>43101</c:v>
                </c:pt>
                <c:pt idx="43">
                  <c:v>43132</c:v>
                </c:pt>
                <c:pt idx="44">
                  <c:v>43160</c:v>
                </c:pt>
                <c:pt idx="45">
                  <c:v>43191</c:v>
                </c:pt>
                <c:pt idx="46">
                  <c:v>43221</c:v>
                </c:pt>
                <c:pt idx="47">
                  <c:v>43252</c:v>
                </c:pt>
                <c:pt idx="48">
                  <c:v>43282</c:v>
                </c:pt>
                <c:pt idx="49">
                  <c:v>43313</c:v>
                </c:pt>
                <c:pt idx="50">
                  <c:v>43344</c:v>
                </c:pt>
                <c:pt idx="51">
                  <c:v>43374</c:v>
                </c:pt>
                <c:pt idx="52">
                  <c:v>43405</c:v>
                </c:pt>
                <c:pt idx="53">
                  <c:v>43435</c:v>
                </c:pt>
                <c:pt idx="54">
                  <c:v>43466</c:v>
                </c:pt>
                <c:pt idx="55">
                  <c:v>43497</c:v>
                </c:pt>
                <c:pt idx="56">
                  <c:v>43525</c:v>
                </c:pt>
                <c:pt idx="57">
                  <c:v>43556</c:v>
                </c:pt>
                <c:pt idx="58">
                  <c:v>43586</c:v>
                </c:pt>
                <c:pt idx="59">
                  <c:v>43617</c:v>
                </c:pt>
                <c:pt idx="60">
                  <c:v>43647</c:v>
                </c:pt>
                <c:pt idx="61">
                  <c:v>43678</c:v>
                </c:pt>
                <c:pt idx="62">
                  <c:v>43709</c:v>
                </c:pt>
                <c:pt idx="63">
                  <c:v>43739</c:v>
                </c:pt>
                <c:pt idx="64">
                  <c:v>43770</c:v>
                </c:pt>
                <c:pt idx="65">
                  <c:v>43800</c:v>
                </c:pt>
                <c:pt idx="66">
                  <c:v>43831</c:v>
                </c:pt>
                <c:pt idx="67">
                  <c:v>43862</c:v>
                </c:pt>
                <c:pt idx="68">
                  <c:v>43891</c:v>
                </c:pt>
                <c:pt idx="69">
                  <c:v>43922</c:v>
                </c:pt>
                <c:pt idx="70">
                  <c:v>43952</c:v>
                </c:pt>
                <c:pt idx="71">
                  <c:v>43983</c:v>
                </c:pt>
                <c:pt idx="72">
                  <c:v>44013</c:v>
                </c:pt>
                <c:pt idx="73">
                  <c:v>44044</c:v>
                </c:pt>
                <c:pt idx="74">
                  <c:v>44075</c:v>
                </c:pt>
                <c:pt idx="75">
                  <c:v>44105</c:v>
                </c:pt>
                <c:pt idx="76">
                  <c:v>44136</c:v>
                </c:pt>
                <c:pt idx="77">
                  <c:v>44166</c:v>
                </c:pt>
                <c:pt idx="78">
                  <c:v>44197</c:v>
                </c:pt>
                <c:pt idx="79">
                  <c:v>44228</c:v>
                </c:pt>
                <c:pt idx="80">
                  <c:v>44256</c:v>
                </c:pt>
                <c:pt idx="81">
                  <c:v>44287</c:v>
                </c:pt>
                <c:pt idx="82">
                  <c:v>44317</c:v>
                </c:pt>
                <c:pt idx="83">
                  <c:v>44348</c:v>
                </c:pt>
                <c:pt idx="84">
                  <c:v>44378</c:v>
                </c:pt>
                <c:pt idx="85">
                  <c:v>44409</c:v>
                </c:pt>
                <c:pt idx="86">
                  <c:v>44440</c:v>
                </c:pt>
                <c:pt idx="87">
                  <c:v>44470</c:v>
                </c:pt>
                <c:pt idx="88">
                  <c:v>44501</c:v>
                </c:pt>
                <c:pt idx="89">
                  <c:v>44531</c:v>
                </c:pt>
                <c:pt idx="90">
                  <c:v>44562</c:v>
                </c:pt>
                <c:pt idx="91">
                  <c:v>44593</c:v>
                </c:pt>
                <c:pt idx="92">
                  <c:v>44621</c:v>
                </c:pt>
                <c:pt idx="93">
                  <c:v>44652</c:v>
                </c:pt>
                <c:pt idx="94">
                  <c:v>44682</c:v>
                </c:pt>
                <c:pt idx="95">
                  <c:v>44713</c:v>
                </c:pt>
                <c:pt idx="96">
                  <c:v>44743</c:v>
                </c:pt>
                <c:pt idx="97">
                  <c:v>44774</c:v>
                </c:pt>
                <c:pt idx="98">
                  <c:v>44805</c:v>
                </c:pt>
                <c:pt idx="99">
                  <c:v>44835</c:v>
                </c:pt>
                <c:pt idx="100">
                  <c:v>44866</c:v>
                </c:pt>
                <c:pt idx="101">
                  <c:v>44896</c:v>
                </c:pt>
                <c:pt idx="102">
                  <c:v>44927</c:v>
                </c:pt>
                <c:pt idx="103">
                  <c:v>44958</c:v>
                </c:pt>
                <c:pt idx="104">
                  <c:v>44986</c:v>
                </c:pt>
                <c:pt idx="105">
                  <c:v>45017</c:v>
                </c:pt>
                <c:pt idx="106">
                  <c:v>45047</c:v>
                </c:pt>
                <c:pt idx="107">
                  <c:v>45078</c:v>
                </c:pt>
                <c:pt idx="108">
                  <c:v>45108</c:v>
                </c:pt>
                <c:pt idx="109">
                  <c:v>45139</c:v>
                </c:pt>
                <c:pt idx="110">
                  <c:v>45170</c:v>
                </c:pt>
                <c:pt idx="111">
                  <c:v>45200</c:v>
                </c:pt>
                <c:pt idx="112">
                  <c:v>45231</c:v>
                </c:pt>
                <c:pt idx="113">
                  <c:v>45261</c:v>
                </c:pt>
                <c:pt idx="114">
                  <c:v>45292</c:v>
                </c:pt>
                <c:pt idx="115">
                  <c:v>45323</c:v>
                </c:pt>
                <c:pt idx="116">
                  <c:v>45352</c:v>
                </c:pt>
                <c:pt idx="117">
                  <c:v>45383</c:v>
                </c:pt>
                <c:pt idx="118">
                  <c:v>45413</c:v>
                </c:pt>
                <c:pt idx="119">
                  <c:v>45444</c:v>
                </c:pt>
                <c:pt idx="120">
                  <c:v>45468</c:v>
                </c:pt>
              </c:numCache>
            </c:numRef>
          </c:cat>
          <c:val>
            <c:numRef>
              <c:f>'[1]Week 7 Answer Sheet'!$M$2:$M$122</c:f>
              <c:numCache>
                <c:formatCode>General</c:formatCode>
                <c:ptCount val="121"/>
                <c:pt idx="0">
                  <c:v>2.0700000000000003</c:v>
                </c:pt>
                <c:pt idx="1">
                  <c:v>2.4199979999999996</c:v>
                </c:pt>
                <c:pt idx="2">
                  <c:v>4.7100030000000004</c:v>
                </c:pt>
                <c:pt idx="3">
                  <c:v>7.4099990000000062</c:v>
                </c:pt>
                <c:pt idx="4">
                  <c:v>4.8299980000000033</c:v>
                </c:pt>
                <c:pt idx="5">
                  <c:v>4.4500000000000028</c:v>
                </c:pt>
                <c:pt idx="6">
                  <c:v>3.6099969999999999</c:v>
                </c:pt>
                <c:pt idx="7">
                  <c:v>2.2200019999999938</c:v>
                </c:pt>
                <c:pt idx="8">
                  <c:v>4.3400000000000034</c:v>
                </c:pt>
                <c:pt idx="9">
                  <c:v>5.5200000000000031</c:v>
                </c:pt>
                <c:pt idx="10">
                  <c:v>5.4600030000000004</c:v>
                </c:pt>
                <c:pt idx="11">
                  <c:v>4.75</c:v>
                </c:pt>
                <c:pt idx="12">
                  <c:v>5.4799989999999994</c:v>
                </c:pt>
                <c:pt idx="13">
                  <c:v>8.4599989999999963</c:v>
                </c:pt>
                <c:pt idx="14">
                  <c:v>6.120002999999997</c:v>
                </c:pt>
                <c:pt idx="15">
                  <c:v>6.3499980000000065</c:v>
                </c:pt>
                <c:pt idx="16">
                  <c:v>4.8300010000000029</c:v>
                </c:pt>
                <c:pt idx="17">
                  <c:v>6.6199980000000025</c:v>
                </c:pt>
                <c:pt idx="18">
                  <c:v>9.0900010000000009</c:v>
                </c:pt>
                <c:pt idx="19">
                  <c:v>8.6100009999999969</c:v>
                </c:pt>
                <c:pt idx="20">
                  <c:v>7.3099970000000027</c:v>
                </c:pt>
                <c:pt idx="21">
                  <c:v>5.0799980000000033</c:v>
                </c:pt>
                <c:pt idx="22">
                  <c:v>3.9900019999999969</c:v>
                </c:pt>
                <c:pt idx="23">
                  <c:v>7.0600009999999997</c:v>
                </c:pt>
                <c:pt idx="24">
                  <c:v>4.3499989999999968</c:v>
                </c:pt>
                <c:pt idx="25">
                  <c:v>2.9700019999999938</c:v>
                </c:pt>
                <c:pt idx="26">
                  <c:v>5.119999</c:v>
                </c:pt>
                <c:pt idx="27">
                  <c:v>3.7200010000000034</c:v>
                </c:pt>
                <c:pt idx="28">
                  <c:v>5.3400000000000034</c:v>
                </c:pt>
                <c:pt idx="29">
                  <c:v>3.9399980000000028</c:v>
                </c:pt>
                <c:pt idx="30">
                  <c:v>6.0499989999999997</c:v>
                </c:pt>
                <c:pt idx="31">
                  <c:v>2.1799999999999997</c:v>
                </c:pt>
                <c:pt idx="32">
                  <c:v>5.1700019999999967</c:v>
                </c:pt>
                <c:pt idx="33">
                  <c:v>5.1100009999999969</c:v>
                </c:pt>
                <c:pt idx="34">
                  <c:v>4.6500019999999935</c:v>
                </c:pt>
                <c:pt idx="35">
                  <c:v>4.6300050000000041</c:v>
                </c:pt>
                <c:pt idx="36">
                  <c:v>2.7300030000000106</c:v>
                </c:pt>
                <c:pt idx="37">
                  <c:v>2.4900050000000107</c:v>
                </c:pt>
                <c:pt idx="38">
                  <c:v>6.880001</c:v>
                </c:pt>
                <c:pt idx="39">
                  <c:v>4.5999979999999994</c:v>
                </c:pt>
                <c:pt idx="40">
                  <c:v>4.2099999999999937</c:v>
                </c:pt>
                <c:pt idx="41">
                  <c:v>4.5</c:v>
                </c:pt>
                <c:pt idx="42">
                  <c:v>6.75</c:v>
                </c:pt>
                <c:pt idx="43">
                  <c:v>7.4899979999999999</c:v>
                </c:pt>
                <c:pt idx="44">
                  <c:v>4.8600009999999969</c:v>
                </c:pt>
                <c:pt idx="45">
                  <c:v>4.8600009999999969</c:v>
                </c:pt>
                <c:pt idx="46">
                  <c:v>3.8600009999999969</c:v>
                </c:pt>
                <c:pt idx="47">
                  <c:v>8.6299970000000101</c:v>
                </c:pt>
                <c:pt idx="48">
                  <c:v>3.3299979999999962</c:v>
                </c:pt>
                <c:pt idx="49">
                  <c:v>5.3099979999999931</c:v>
                </c:pt>
                <c:pt idx="50">
                  <c:v>6.9300040000000038</c:v>
                </c:pt>
                <c:pt idx="51">
                  <c:v>11.299996</c:v>
                </c:pt>
                <c:pt idx="52">
                  <c:v>6.4000010000000032</c:v>
                </c:pt>
                <c:pt idx="53">
                  <c:v>15.670001999999997</c:v>
                </c:pt>
                <c:pt idx="54">
                  <c:v>10.719996999999999</c:v>
                </c:pt>
                <c:pt idx="55">
                  <c:v>3.4099999999999966</c:v>
                </c:pt>
                <c:pt idx="56">
                  <c:v>8.7700000000000031</c:v>
                </c:pt>
                <c:pt idx="57">
                  <c:v>4.3400000000000034</c:v>
                </c:pt>
                <c:pt idx="58">
                  <c:v>5.3199999999999932</c:v>
                </c:pt>
                <c:pt idx="59">
                  <c:v>9.1000029999999938</c:v>
                </c:pt>
                <c:pt idx="60">
                  <c:v>2.8200000000000003</c:v>
                </c:pt>
                <c:pt idx="61">
                  <c:v>5.0400010000000037</c:v>
                </c:pt>
                <c:pt idx="62">
                  <c:v>7.9500010000000003</c:v>
                </c:pt>
                <c:pt idx="63">
                  <c:v>4.9400029999999973</c:v>
                </c:pt>
                <c:pt idx="64">
                  <c:v>2.8899999999999935</c:v>
                </c:pt>
                <c:pt idx="65">
                  <c:v>8.4700019999999938</c:v>
                </c:pt>
                <c:pt idx="66">
                  <c:v>8.7299999999999969</c:v>
                </c:pt>
                <c:pt idx="67">
                  <c:v>14.849999999999998</c:v>
                </c:pt>
                <c:pt idx="68">
                  <c:v>25.440000000000005</c:v>
                </c:pt>
                <c:pt idx="69">
                  <c:v>9.0299999999999976</c:v>
                </c:pt>
                <c:pt idx="70">
                  <c:v>7.16</c:v>
                </c:pt>
                <c:pt idx="71">
                  <c:v>10.360000999999999</c:v>
                </c:pt>
                <c:pt idx="72">
                  <c:v>4.2099999999999991</c:v>
                </c:pt>
                <c:pt idx="73">
                  <c:v>4.51</c:v>
                </c:pt>
                <c:pt idx="74">
                  <c:v>5.5200000000000014</c:v>
                </c:pt>
                <c:pt idx="75">
                  <c:v>4.0600000000000023</c:v>
                </c:pt>
                <c:pt idx="76">
                  <c:v>9.32</c:v>
                </c:pt>
                <c:pt idx="77">
                  <c:v>5.1499990000000011</c:v>
                </c:pt>
                <c:pt idx="78">
                  <c:v>3.75</c:v>
                </c:pt>
                <c:pt idx="79">
                  <c:v>9.8299999999999983</c:v>
                </c:pt>
                <c:pt idx="80">
                  <c:v>6.8600009999999969</c:v>
                </c:pt>
                <c:pt idx="81">
                  <c:v>5.5099980000000031</c:v>
                </c:pt>
                <c:pt idx="82">
                  <c:v>5.7799990000000001</c:v>
                </c:pt>
                <c:pt idx="83">
                  <c:v>5.8299990000000008</c:v>
                </c:pt>
                <c:pt idx="84">
                  <c:v>7.6599990000000027</c:v>
                </c:pt>
                <c:pt idx="85">
                  <c:v>4.119999</c:v>
                </c:pt>
                <c:pt idx="86">
                  <c:v>5.1499990000000011</c:v>
                </c:pt>
                <c:pt idx="87">
                  <c:v>5.260000999999999</c:v>
                </c:pt>
                <c:pt idx="88">
                  <c:v>8.18</c:v>
                </c:pt>
                <c:pt idx="89">
                  <c:v>5.4799989999999994</c:v>
                </c:pt>
                <c:pt idx="90">
                  <c:v>5.1499990000000011</c:v>
                </c:pt>
                <c:pt idx="91">
                  <c:v>5.2100010000000019</c:v>
                </c:pt>
                <c:pt idx="92">
                  <c:v>5.6000010000000007</c:v>
                </c:pt>
                <c:pt idx="93">
                  <c:v>4.3799990000000015</c:v>
                </c:pt>
                <c:pt idx="94">
                  <c:v>6.2699999999999978</c:v>
                </c:pt>
                <c:pt idx="95">
                  <c:v>6.1</c:v>
                </c:pt>
                <c:pt idx="96">
                  <c:v>2.9499999999999993</c:v>
                </c:pt>
                <c:pt idx="97">
                  <c:v>2.8100000000000005</c:v>
                </c:pt>
                <c:pt idx="98">
                  <c:v>4.18</c:v>
                </c:pt>
                <c:pt idx="99">
                  <c:v>3.04</c:v>
                </c:pt>
                <c:pt idx="100">
                  <c:v>3.24</c:v>
                </c:pt>
                <c:pt idx="101">
                  <c:v>2.7599999999999989</c:v>
                </c:pt>
                <c:pt idx="102">
                  <c:v>3.33</c:v>
                </c:pt>
                <c:pt idx="103">
                  <c:v>2.3699999999999992</c:v>
                </c:pt>
                <c:pt idx="104">
                  <c:v>3.16</c:v>
                </c:pt>
                <c:pt idx="105">
                  <c:v>1.5300000000000011</c:v>
                </c:pt>
                <c:pt idx="106">
                  <c:v>2.67</c:v>
                </c:pt>
                <c:pt idx="107">
                  <c:v>7.6799990000000022</c:v>
                </c:pt>
                <c:pt idx="108">
                  <c:v>2.4499989999999983</c:v>
                </c:pt>
                <c:pt idx="109">
                  <c:v>3.0199999999999996</c:v>
                </c:pt>
                <c:pt idx="110">
                  <c:v>2.819999000000001</c:v>
                </c:pt>
                <c:pt idx="111">
                  <c:v>3.33</c:v>
                </c:pt>
                <c:pt idx="112">
                  <c:v>4.1800000000000015</c:v>
                </c:pt>
                <c:pt idx="113">
                  <c:v>4.7099999999999991</c:v>
                </c:pt>
                <c:pt idx="114">
                  <c:v>2.6500000000000004</c:v>
                </c:pt>
                <c:pt idx="115">
                  <c:v>2.7999999999999989</c:v>
                </c:pt>
                <c:pt idx="116">
                  <c:v>2.0700000000000003</c:v>
                </c:pt>
                <c:pt idx="117">
                  <c:v>2.870000000000001</c:v>
                </c:pt>
                <c:pt idx="118">
                  <c:v>2.259999999999998</c:v>
                </c:pt>
                <c:pt idx="119">
                  <c:v>2.09</c:v>
                </c:pt>
                <c:pt idx="120" formatCode="0.00">
                  <c:v>1.1000000000000014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A3-49C2-AA67-49903103E513}"/>
            </c:ext>
          </c:extLst>
        </c:ser>
        <c:ser>
          <c:idx val="1"/>
          <c:order val="1"/>
          <c:tx>
            <c:strRef>
              <c:f>'[1]Week 7 Answer Sheet'!$N$1</c:f>
              <c:strCache>
                <c:ptCount val="1"/>
                <c:pt idx="0">
                  <c:v>Volatility (10-day)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'[1]Week 7 Answer Sheet'!$C$2:$C$122</c:f>
              <c:numCache>
                <c:formatCode>m/d/yyyy</c:formatCode>
                <c:ptCount val="121"/>
                <c:pt idx="0">
                  <c:v>41821</c:v>
                </c:pt>
                <c:pt idx="1">
                  <c:v>41852</c:v>
                </c:pt>
                <c:pt idx="2">
                  <c:v>41883</c:v>
                </c:pt>
                <c:pt idx="3">
                  <c:v>41913</c:v>
                </c:pt>
                <c:pt idx="4">
                  <c:v>41944</c:v>
                </c:pt>
                <c:pt idx="5">
                  <c:v>41974</c:v>
                </c:pt>
                <c:pt idx="6">
                  <c:v>42005</c:v>
                </c:pt>
                <c:pt idx="7">
                  <c:v>42036</c:v>
                </c:pt>
                <c:pt idx="8">
                  <c:v>42064</c:v>
                </c:pt>
                <c:pt idx="9">
                  <c:v>42095</c:v>
                </c:pt>
                <c:pt idx="10">
                  <c:v>42125</c:v>
                </c:pt>
                <c:pt idx="11">
                  <c:v>42156</c:v>
                </c:pt>
                <c:pt idx="12">
                  <c:v>42186</c:v>
                </c:pt>
                <c:pt idx="13">
                  <c:v>42217</c:v>
                </c:pt>
                <c:pt idx="14">
                  <c:v>42248</c:v>
                </c:pt>
                <c:pt idx="15">
                  <c:v>42278</c:v>
                </c:pt>
                <c:pt idx="16">
                  <c:v>42309</c:v>
                </c:pt>
                <c:pt idx="17">
                  <c:v>42339</c:v>
                </c:pt>
                <c:pt idx="18">
                  <c:v>42370</c:v>
                </c:pt>
                <c:pt idx="19">
                  <c:v>42401</c:v>
                </c:pt>
                <c:pt idx="20">
                  <c:v>42430</c:v>
                </c:pt>
                <c:pt idx="21">
                  <c:v>42461</c:v>
                </c:pt>
                <c:pt idx="22">
                  <c:v>42491</c:v>
                </c:pt>
                <c:pt idx="23">
                  <c:v>42522</c:v>
                </c:pt>
                <c:pt idx="24">
                  <c:v>42552</c:v>
                </c:pt>
                <c:pt idx="25">
                  <c:v>42583</c:v>
                </c:pt>
                <c:pt idx="26">
                  <c:v>42614</c:v>
                </c:pt>
                <c:pt idx="27">
                  <c:v>42644</c:v>
                </c:pt>
                <c:pt idx="28">
                  <c:v>42675</c:v>
                </c:pt>
                <c:pt idx="29">
                  <c:v>42705</c:v>
                </c:pt>
                <c:pt idx="30">
                  <c:v>42736</c:v>
                </c:pt>
                <c:pt idx="31">
                  <c:v>42767</c:v>
                </c:pt>
                <c:pt idx="32">
                  <c:v>42795</c:v>
                </c:pt>
                <c:pt idx="33">
                  <c:v>42826</c:v>
                </c:pt>
                <c:pt idx="34">
                  <c:v>42856</c:v>
                </c:pt>
                <c:pt idx="35">
                  <c:v>42887</c:v>
                </c:pt>
                <c:pt idx="36">
                  <c:v>42917</c:v>
                </c:pt>
                <c:pt idx="37">
                  <c:v>42948</c:v>
                </c:pt>
                <c:pt idx="38">
                  <c:v>42979</c:v>
                </c:pt>
                <c:pt idx="39">
                  <c:v>43009</c:v>
                </c:pt>
                <c:pt idx="40">
                  <c:v>43040</c:v>
                </c:pt>
                <c:pt idx="41">
                  <c:v>43070</c:v>
                </c:pt>
                <c:pt idx="42">
                  <c:v>43101</c:v>
                </c:pt>
                <c:pt idx="43">
                  <c:v>43132</c:v>
                </c:pt>
                <c:pt idx="44">
                  <c:v>43160</c:v>
                </c:pt>
                <c:pt idx="45">
                  <c:v>43191</c:v>
                </c:pt>
                <c:pt idx="46">
                  <c:v>43221</c:v>
                </c:pt>
                <c:pt idx="47">
                  <c:v>43252</c:v>
                </c:pt>
                <c:pt idx="48">
                  <c:v>43282</c:v>
                </c:pt>
                <c:pt idx="49">
                  <c:v>43313</c:v>
                </c:pt>
                <c:pt idx="50">
                  <c:v>43344</c:v>
                </c:pt>
                <c:pt idx="51">
                  <c:v>43374</c:v>
                </c:pt>
                <c:pt idx="52">
                  <c:v>43405</c:v>
                </c:pt>
                <c:pt idx="53">
                  <c:v>43435</c:v>
                </c:pt>
                <c:pt idx="54">
                  <c:v>43466</c:v>
                </c:pt>
                <c:pt idx="55">
                  <c:v>43497</c:v>
                </c:pt>
                <c:pt idx="56">
                  <c:v>43525</c:v>
                </c:pt>
                <c:pt idx="57">
                  <c:v>43556</c:v>
                </c:pt>
                <c:pt idx="58">
                  <c:v>43586</c:v>
                </c:pt>
                <c:pt idx="59">
                  <c:v>43617</c:v>
                </c:pt>
                <c:pt idx="60">
                  <c:v>43647</c:v>
                </c:pt>
                <c:pt idx="61">
                  <c:v>43678</c:v>
                </c:pt>
                <c:pt idx="62">
                  <c:v>43709</c:v>
                </c:pt>
                <c:pt idx="63">
                  <c:v>43739</c:v>
                </c:pt>
                <c:pt idx="64">
                  <c:v>43770</c:v>
                </c:pt>
                <c:pt idx="65">
                  <c:v>43800</c:v>
                </c:pt>
                <c:pt idx="66">
                  <c:v>43831</c:v>
                </c:pt>
                <c:pt idx="67">
                  <c:v>43862</c:v>
                </c:pt>
                <c:pt idx="68">
                  <c:v>43891</c:v>
                </c:pt>
                <c:pt idx="69">
                  <c:v>43922</c:v>
                </c:pt>
                <c:pt idx="70">
                  <c:v>43952</c:v>
                </c:pt>
                <c:pt idx="71">
                  <c:v>43983</c:v>
                </c:pt>
                <c:pt idx="72">
                  <c:v>44013</c:v>
                </c:pt>
                <c:pt idx="73">
                  <c:v>44044</c:v>
                </c:pt>
                <c:pt idx="74">
                  <c:v>44075</c:v>
                </c:pt>
                <c:pt idx="75">
                  <c:v>44105</c:v>
                </c:pt>
                <c:pt idx="76">
                  <c:v>44136</c:v>
                </c:pt>
                <c:pt idx="77">
                  <c:v>44166</c:v>
                </c:pt>
                <c:pt idx="78">
                  <c:v>44197</c:v>
                </c:pt>
                <c:pt idx="79">
                  <c:v>44228</c:v>
                </c:pt>
                <c:pt idx="80">
                  <c:v>44256</c:v>
                </c:pt>
                <c:pt idx="81">
                  <c:v>44287</c:v>
                </c:pt>
                <c:pt idx="82">
                  <c:v>44317</c:v>
                </c:pt>
                <c:pt idx="83">
                  <c:v>44348</c:v>
                </c:pt>
                <c:pt idx="84">
                  <c:v>44378</c:v>
                </c:pt>
                <c:pt idx="85">
                  <c:v>44409</c:v>
                </c:pt>
                <c:pt idx="86">
                  <c:v>44440</c:v>
                </c:pt>
                <c:pt idx="87">
                  <c:v>44470</c:v>
                </c:pt>
                <c:pt idx="88">
                  <c:v>44501</c:v>
                </c:pt>
                <c:pt idx="89">
                  <c:v>44531</c:v>
                </c:pt>
                <c:pt idx="90">
                  <c:v>44562</c:v>
                </c:pt>
                <c:pt idx="91">
                  <c:v>44593</c:v>
                </c:pt>
                <c:pt idx="92">
                  <c:v>44621</c:v>
                </c:pt>
                <c:pt idx="93">
                  <c:v>44652</c:v>
                </c:pt>
                <c:pt idx="94">
                  <c:v>44682</c:v>
                </c:pt>
                <c:pt idx="95">
                  <c:v>44713</c:v>
                </c:pt>
                <c:pt idx="96">
                  <c:v>44743</c:v>
                </c:pt>
                <c:pt idx="97">
                  <c:v>44774</c:v>
                </c:pt>
                <c:pt idx="98">
                  <c:v>44805</c:v>
                </c:pt>
                <c:pt idx="99">
                  <c:v>44835</c:v>
                </c:pt>
                <c:pt idx="100">
                  <c:v>44866</c:v>
                </c:pt>
                <c:pt idx="101">
                  <c:v>44896</c:v>
                </c:pt>
                <c:pt idx="102">
                  <c:v>44927</c:v>
                </c:pt>
                <c:pt idx="103">
                  <c:v>44958</c:v>
                </c:pt>
                <c:pt idx="104">
                  <c:v>44986</c:v>
                </c:pt>
                <c:pt idx="105">
                  <c:v>45017</c:v>
                </c:pt>
                <c:pt idx="106">
                  <c:v>45047</c:v>
                </c:pt>
                <c:pt idx="107">
                  <c:v>45078</c:v>
                </c:pt>
                <c:pt idx="108">
                  <c:v>45108</c:v>
                </c:pt>
                <c:pt idx="109">
                  <c:v>45139</c:v>
                </c:pt>
                <c:pt idx="110">
                  <c:v>45170</c:v>
                </c:pt>
                <c:pt idx="111">
                  <c:v>45200</c:v>
                </c:pt>
                <c:pt idx="112">
                  <c:v>45231</c:v>
                </c:pt>
                <c:pt idx="113">
                  <c:v>45261</c:v>
                </c:pt>
                <c:pt idx="114">
                  <c:v>45292</c:v>
                </c:pt>
                <c:pt idx="115">
                  <c:v>45323</c:v>
                </c:pt>
                <c:pt idx="116">
                  <c:v>45352</c:v>
                </c:pt>
                <c:pt idx="117">
                  <c:v>45383</c:v>
                </c:pt>
                <c:pt idx="118">
                  <c:v>45413</c:v>
                </c:pt>
                <c:pt idx="119">
                  <c:v>45444</c:v>
                </c:pt>
                <c:pt idx="120">
                  <c:v>45468</c:v>
                </c:pt>
              </c:numCache>
            </c:numRef>
          </c:cat>
          <c:val>
            <c:numRef>
              <c:f>'[1]Week 7 Answer Sheet'!$N$2:$N$122</c:f>
              <c:numCache>
                <c:formatCode>General</c:formatCode>
                <c:ptCount val="121"/>
                <c:pt idx="9">
                  <c:v>3.6109402748378803</c:v>
                </c:pt>
                <c:pt idx="10">
                  <c:v>3.074059404616821</c:v>
                </c:pt>
                <c:pt idx="11">
                  <c:v>2.938568972779108</c:v>
                </c:pt>
                <c:pt idx="12">
                  <c:v>3.6248749796680895</c:v>
                </c:pt>
                <c:pt idx="13">
                  <c:v>3.1466151025438318</c:v>
                </c:pt>
                <c:pt idx="14">
                  <c:v>3.1277787215354969</c:v>
                </c:pt>
                <c:pt idx="15">
                  <c:v>3.6882059825583378</c:v>
                </c:pt>
                <c:pt idx="16">
                  <c:v>3.4294417749510075</c:v>
                </c:pt>
                <c:pt idx="17">
                  <c:v>3.3868641162915551</c:v>
                </c:pt>
                <c:pt idx="18">
                  <c:v>3.3686100500554348</c:v>
                </c:pt>
                <c:pt idx="19">
                  <c:v>2.7694918431608904</c:v>
                </c:pt>
                <c:pt idx="20">
                  <c:v>2.4736131687160596</c:v>
                </c:pt>
                <c:pt idx="21">
                  <c:v>2.4997284250718463</c:v>
                </c:pt>
                <c:pt idx="22">
                  <c:v>2.5314733447805997</c:v>
                </c:pt>
                <c:pt idx="23">
                  <c:v>3.1952088672471337</c:v>
                </c:pt>
                <c:pt idx="24">
                  <c:v>3.3475369680476743</c:v>
                </c:pt>
                <c:pt idx="25">
                  <c:v>2.9749461340410268</c:v>
                </c:pt>
                <c:pt idx="26">
                  <c:v>2.9219436904607328</c:v>
                </c:pt>
                <c:pt idx="27">
                  <c:v>2.145223972767154</c:v>
                </c:pt>
                <c:pt idx="28">
                  <c:v>2.3676287690902167</c:v>
                </c:pt>
                <c:pt idx="29">
                  <c:v>2.5966773402864263</c:v>
                </c:pt>
                <c:pt idx="30">
                  <c:v>3.1031732982010807</c:v>
                </c:pt>
                <c:pt idx="31">
                  <c:v>3.7573597147762681</c:v>
                </c:pt>
                <c:pt idx="32">
                  <c:v>4.6030818478253064</c:v>
                </c:pt>
                <c:pt idx="33">
                  <c:v>5.0370602387151804</c:v>
                </c:pt>
                <c:pt idx="34">
                  <c:v>5.6624459259621478</c:v>
                </c:pt>
                <c:pt idx="35">
                  <c:v>6.0890398602006428</c:v>
                </c:pt>
                <c:pt idx="36">
                  <c:v>6.2819653402066296</c:v>
                </c:pt>
                <c:pt idx="37">
                  <c:v>6.3433059092068813</c:v>
                </c:pt>
                <c:pt idx="38">
                  <c:v>5.6596410914867725</c:v>
                </c:pt>
                <c:pt idx="39">
                  <c:v>4.7593861167873328</c:v>
                </c:pt>
                <c:pt idx="40">
                  <c:v>4.0078120012186877</c:v>
                </c:pt>
                <c:pt idx="41">
                  <c:v>2.9122896252112951</c:v>
                </c:pt>
                <c:pt idx="42">
                  <c:v>2.7477441434347631</c:v>
                </c:pt>
                <c:pt idx="43">
                  <c:v>2.25908334792951</c:v>
                </c:pt>
                <c:pt idx="44">
                  <c:v>2.1061502663504332</c:v>
                </c:pt>
                <c:pt idx="45">
                  <c:v>2.4087642835194538</c:v>
                </c:pt>
                <c:pt idx="46">
                  <c:v>2.7723902094688957</c:v>
                </c:pt>
                <c:pt idx="47">
                  <c:v>3.6873715670895937</c:v>
                </c:pt>
                <c:pt idx="48">
                  <c:v>4.1126323073891209</c:v>
                </c:pt>
                <c:pt idx="49">
                  <c:v>4.1461214310354411</c:v>
                </c:pt>
                <c:pt idx="50">
                  <c:v>4.1033290722969813</c:v>
                </c:pt>
                <c:pt idx="51">
                  <c:v>4.6391152298928731</c:v>
                </c:pt>
                <c:pt idx="52">
                  <c:v>3.4633772508928033</c:v>
                </c:pt>
                <c:pt idx="53">
                  <c:v>4.7132423152929395</c:v>
                </c:pt>
                <c:pt idx="54">
                  <c:v>4.2898829160921244</c:v>
                </c:pt>
                <c:pt idx="55">
                  <c:v>4.0586596208329455</c:v>
                </c:pt>
                <c:pt idx="56">
                  <c:v>4.487882814622008</c:v>
                </c:pt>
                <c:pt idx="57">
                  <c:v>4.5566566441003662</c:v>
                </c:pt>
                <c:pt idx="58">
                  <c:v>4.8398443234836979</c:v>
                </c:pt>
                <c:pt idx="59">
                  <c:v>5.3398177185702895</c:v>
                </c:pt>
                <c:pt idx="60">
                  <c:v>4.7878109439610039</c:v>
                </c:pt>
                <c:pt idx="61">
                  <c:v>5.4361408435275678</c:v>
                </c:pt>
                <c:pt idx="62">
                  <c:v>5.1317742790494121</c:v>
                </c:pt>
                <c:pt idx="63">
                  <c:v>5.6449547589961506</c:v>
                </c:pt>
                <c:pt idx="64">
                  <c:v>5.0479872565433661</c:v>
                </c:pt>
                <c:pt idx="65">
                  <c:v>3.9851036613872184</c:v>
                </c:pt>
                <c:pt idx="66">
                  <c:v>4.0308487658724284</c:v>
                </c:pt>
                <c:pt idx="67">
                  <c:v>4.9640002607666336</c:v>
                </c:pt>
                <c:pt idx="68">
                  <c:v>10.754981623900932</c:v>
                </c:pt>
                <c:pt idx="69">
                  <c:v>13.121402536941174</c:v>
                </c:pt>
                <c:pt idx="70">
                  <c:v>14.375665331169186</c:v>
                </c:pt>
                <c:pt idx="71">
                  <c:v>15.045463201244461</c:v>
                </c:pt>
                <c:pt idx="72">
                  <c:v>15.434003893639838</c:v>
                </c:pt>
                <c:pt idx="73">
                  <c:v>15.065411503263618</c:v>
                </c:pt>
                <c:pt idx="74">
                  <c:v>13.87713843116723</c:v>
                </c:pt>
                <c:pt idx="75">
                  <c:v>10.226634805513175</c:v>
                </c:pt>
                <c:pt idx="76">
                  <c:v>5.96489291944496</c:v>
                </c:pt>
                <c:pt idx="77">
                  <c:v>2.7147899448105512</c:v>
                </c:pt>
                <c:pt idx="78">
                  <c:v>2.5840055039501109</c:v>
                </c:pt>
                <c:pt idx="79">
                  <c:v>4.0461038872805215</c:v>
                </c:pt>
                <c:pt idx="80">
                  <c:v>4.7935538338944923</c:v>
                </c:pt>
                <c:pt idx="81">
                  <c:v>5.4650026650395258</c:v>
                </c:pt>
                <c:pt idx="82">
                  <c:v>5.73109521565374</c:v>
                </c:pt>
                <c:pt idx="83">
                  <c:v>5.5908914093471154</c:v>
                </c:pt>
                <c:pt idx="84">
                  <c:v>4.9721874323302115</c:v>
                </c:pt>
                <c:pt idx="85">
                  <c:v>3.6620668289005658</c:v>
                </c:pt>
                <c:pt idx="86">
                  <c:v>3.3289403075320796</c:v>
                </c:pt>
                <c:pt idx="87">
                  <c:v>3.2794239372183309</c:v>
                </c:pt>
                <c:pt idx="88">
                  <c:v>3.5091123872950232</c:v>
                </c:pt>
                <c:pt idx="89">
                  <c:v>3.714798181089126</c:v>
                </c:pt>
                <c:pt idx="90">
                  <c:v>3.833771889956834</c:v>
                </c:pt>
                <c:pt idx="91">
                  <c:v>3.5852323832944286</c:v>
                </c:pt>
                <c:pt idx="92">
                  <c:v>2.6998757144235257</c:v>
                </c:pt>
                <c:pt idx="93">
                  <c:v>2.4900030317698305</c:v>
                </c:pt>
                <c:pt idx="94">
                  <c:v>3.2911849061125369</c:v>
                </c:pt>
                <c:pt idx="95">
                  <c:v>4.5583110644185547</c:v>
                </c:pt>
                <c:pt idx="96">
                  <c:v>4.8145156056105165</c:v>
                </c:pt>
                <c:pt idx="97">
                  <c:v>4.950353995310774</c:v>
                </c:pt>
                <c:pt idx="98">
                  <c:v>5.5743143467156937</c:v>
                </c:pt>
                <c:pt idx="99">
                  <c:v>5.4501372686077207</c:v>
                </c:pt>
                <c:pt idx="100">
                  <c:v>5.0564385240558085</c:v>
                </c:pt>
                <c:pt idx="101">
                  <c:v>4.3876242625011832</c:v>
                </c:pt>
                <c:pt idx="102">
                  <c:v>3.0628823761287518</c:v>
                </c:pt>
                <c:pt idx="103">
                  <c:v>1.8680176658693488</c:v>
                </c:pt>
                <c:pt idx="104">
                  <c:v>1.1748966857652687</c:v>
                </c:pt>
                <c:pt idx="105">
                  <c:v>1.1544888238716047</c:v>
                </c:pt>
                <c:pt idx="106">
                  <c:v>1.2917864460591868</c:v>
                </c:pt>
                <c:pt idx="107">
                  <c:v>3.2010040091612928</c:v>
                </c:pt>
                <c:pt idx="108">
                  <c:v>3.8862528367453266</c:v>
                </c:pt>
                <c:pt idx="109">
                  <c:v>3.9679226302940958</c:v>
                </c:pt>
                <c:pt idx="110">
                  <c:v>3.891246586892172</c:v>
                </c:pt>
                <c:pt idx="111">
                  <c:v>3.5734235063249216</c:v>
                </c:pt>
                <c:pt idx="112">
                  <c:v>3.5280469888531187</c:v>
                </c:pt>
                <c:pt idx="113">
                  <c:v>3.6961488742864397</c:v>
                </c:pt>
                <c:pt idx="114">
                  <c:v>3.4476255471781658</c:v>
                </c:pt>
                <c:pt idx="115">
                  <c:v>2.8030270520754503</c:v>
                </c:pt>
                <c:pt idx="116">
                  <c:v>2.3478939704906998</c:v>
                </c:pt>
                <c:pt idx="117">
                  <c:v>2.1661806037355635</c:v>
                </c:pt>
                <c:pt idx="118">
                  <c:v>1.8670287275061817</c:v>
                </c:pt>
                <c:pt idx="119">
                  <c:v>1.8922489353500971</c:v>
                </c:pt>
                <c:pt idx="120">
                  <c:v>1.920352366195772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A3-49C2-AA67-49903103E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425087"/>
        <c:axId val="118425567"/>
      </c:barChart>
      <c:dateAx>
        <c:axId val="11842508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25567"/>
        <c:crosses val="autoZero"/>
        <c:auto val="1"/>
        <c:lblOffset val="100"/>
        <c:baseTimeUnit val="days"/>
      </c:dateAx>
      <c:valAx>
        <c:axId val="11842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2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Moving Average Comparison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'[1]Week 7 Answer Sheet'!$G$1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'[1]Week 7 Answer Sheet'!$C$2:$C$122</c:f>
              <c:numCache>
                <c:formatCode>m/d/yyyy</c:formatCode>
                <c:ptCount val="121"/>
                <c:pt idx="0">
                  <c:v>41821</c:v>
                </c:pt>
                <c:pt idx="1">
                  <c:v>41852</c:v>
                </c:pt>
                <c:pt idx="2">
                  <c:v>41883</c:v>
                </c:pt>
                <c:pt idx="3">
                  <c:v>41913</c:v>
                </c:pt>
                <c:pt idx="4">
                  <c:v>41944</c:v>
                </c:pt>
                <c:pt idx="5">
                  <c:v>41974</c:v>
                </c:pt>
                <c:pt idx="6">
                  <c:v>42005</c:v>
                </c:pt>
                <c:pt idx="7">
                  <c:v>42036</c:v>
                </c:pt>
                <c:pt idx="8">
                  <c:v>42064</c:v>
                </c:pt>
                <c:pt idx="9">
                  <c:v>42095</c:v>
                </c:pt>
                <c:pt idx="10">
                  <c:v>42125</c:v>
                </c:pt>
                <c:pt idx="11">
                  <c:v>42156</c:v>
                </c:pt>
                <c:pt idx="12">
                  <c:v>42186</c:v>
                </c:pt>
                <c:pt idx="13">
                  <c:v>42217</c:v>
                </c:pt>
                <c:pt idx="14">
                  <c:v>42248</c:v>
                </c:pt>
                <c:pt idx="15">
                  <c:v>42278</c:v>
                </c:pt>
                <c:pt idx="16">
                  <c:v>42309</c:v>
                </c:pt>
                <c:pt idx="17">
                  <c:v>42339</c:v>
                </c:pt>
                <c:pt idx="18">
                  <c:v>42370</c:v>
                </c:pt>
                <c:pt idx="19">
                  <c:v>42401</c:v>
                </c:pt>
                <c:pt idx="20">
                  <c:v>42430</c:v>
                </c:pt>
                <c:pt idx="21">
                  <c:v>42461</c:v>
                </c:pt>
                <c:pt idx="22">
                  <c:v>42491</c:v>
                </c:pt>
                <c:pt idx="23">
                  <c:v>42522</c:v>
                </c:pt>
                <c:pt idx="24">
                  <c:v>42552</c:v>
                </c:pt>
                <c:pt idx="25">
                  <c:v>42583</c:v>
                </c:pt>
                <c:pt idx="26">
                  <c:v>42614</c:v>
                </c:pt>
                <c:pt idx="27">
                  <c:v>42644</c:v>
                </c:pt>
                <c:pt idx="28">
                  <c:v>42675</c:v>
                </c:pt>
                <c:pt idx="29">
                  <c:v>42705</c:v>
                </c:pt>
                <c:pt idx="30">
                  <c:v>42736</c:v>
                </c:pt>
                <c:pt idx="31">
                  <c:v>42767</c:v>
                </c:pt>
                <c:pt idx="32">
                  <c:v>42795</c:v>
                </c:pt>
                <c:pt idx="33">
                  <c:v>42826</c:v>
                </c:pt>
                <c:pt idx="34">
                  <c:v>42856</c:v>
                </c:pt>
                <c:pt idx="35">
                  <c:v>42887</c:v>
                </c:pt>
                <c:pt idx="36">
                  <c:v>42917</c:v>
                </c:pt>
                <c:pt idx="37">
                  <c:v>42948</c:v>
                </c:pt>
                <c:pt idx="38">
                  <c:v>42979</c:v>
                </c:pt>
                <c:pt idx="39">
                  <c:v>43009</c:v>
                </c:pt>
                <c:pt idx="40">
                  <c:v>43040</c:v>
                </c:pt>
                <c:pt idx="41">
                  <c:v>43070</c:v>
                </c:pt>
                <c:pt idx="42">
                  <c:v>43101</c:v>
                </c:pt>
                <c:pt idx="43">
                  <c:v>43132</c:v>
                </c:pt>
                <c:pt idx="44">
                  <c:v>43160</c:v>
                </c:pt>
                <c:pt idx="45">
                  <c:v>43191</c:v>
                </c:pt>
                <c:pt idx="46">
                  <c:v>43221</c:v>
                </c:pt>
                <c:pt idx="47">
                  <c:v>43252</c:v>
                </c:pt>
                <c:pt idx="48">
                  <c:v>43282</c:v>
                </c:pt>
                <c:pt idx="49">
                  <c:v>43313</c:v>
                </c:pt>
                <c:pt idx="50">
                  <c:v>43344</c:v>
                </c:pt>
                <c:pt idx="51">
                  <c:v>43374</c:v>
                </c:pt>
                <c:pt idx="52">
                  <c:v>43405</c:v>
                </c:pt>
                <c:pt idx="53">
                  <c:v>43435</c:v>
                </c:pt>
                <c:pt idx="54">
                  <c:v>43466</c:v>
                </c:pt>
                <c:pt idx="55">
                  <c:v>43497</c:v>
                </c:pt>
                <c:pt idx="56">
                  <c:v>43525</c:v>
                </c:pt>
                <c:pt idx="57">
                  <c:v>43556</c:v>
                </c:pt>
                <c:pt idx="58">
                  <c:v>43586</c:v>
                </c:pt>
                <c:pt idx="59">
                  <c:v>43617</c:v>
                </c:pt>
                <c:pt idx="60">
                  <c:v>43647</c:v>
                </c:pt>
                <c:pt idx="61">
                  <c:v>43678</c:v>
                </c:pt>
                <c:pt idx="62">
                  <c:v>43709</c:v>
                </c:pt>
                <c:pt idx="63">
                  <c:v>43739</c:v>
                </c:pt>
                <c:pt idx="64">
                  <c:v>43770</c:v>
                </c:pt>
                <c:pt idx="65">
                  <c:v>43800</c:v>
                </c:pt>
                <c:pt idx="66">
                  <c:v>43831</c:v>
                </c:pt>
                <c:pt idx="67">
                  <c:v>43862</c:v>
                </c:pt>
                <c:pt idx="68">
                  <c:v>43891</c:v>
                </c:pt>
                <c:pt idx="69">
                  <c:v>43922</c:v>
                </c:pt>
                <c:pt idx="70">
                  <c:v>43952</c:v>
                </c:pt>
                <c:pt idx="71">
                  <c:v>43983</c:v>
                </c:pt>
                <c:pt idx="72">
                  <c:v>44013</c:v>
                </c:pt>
                <c:pt idx="73">
                  <c:v>44044</c:v>
                </c:pt>
                <c:pt idx="74">
                  <c:v>44075</c:v>
                </c:pt>
                <c:pt idx="75">
                  <c:v>44105</c:v>
                </c:pt>
                <c:pt idx="76">
                  <c:v>44136</c:v>
                </c:pt>
                <c:pt idx="77">
                  <c:v>44166</c:v>
                </c:pt>
                <c:pt idx="78">
                  <c:v>44197</c:v>
                </c:pt>
                <c:pt idx="79">
                  <c:v>44228</c:v>
                </c:pt>
                <c:pt idx="80">
                  <c:v>44256</c:v>
                </c:pt>
                <c:pt idx="81">
                  <c:v>44287</c:v>
                </c:pt>
                <c:pt idx="82">
                  <c:v>44317</c:v>
                </c:pt>
                <c:pt idx="83">
                  <c:v>44348</c:v>
                </c:pt>
                <c:pt idx="84">
                  <c:v>44378</c:v>
                </c:pt>
                <c:pt idx="85">
                  <c:v>44409</c:v>
                </c:pt>
                <c:pt idx="86">
                  <c:v>44440</c:v>
                </c:pt>
                <c:pt idx="87">
                  <c:v>44470</c:v>
                </c:pt>
                <c:pt idx="88">
                  <c:v>44501</c:v>
                </c:pt>
                <c:pt idx="89">
                  <c:v>44531</c:v>
                </c:pt>
                <c:pt idx="90">
                  <c:v>44562</c:v>
                </c:pt>
                <c:pt idx="91">
                  <c:v>44593</c:v>
                </c:pt>
                <c:pt idx="92">
                  <c:v>44621</c:v>
                </c:pt>
                <c:pt idx="93">
                  <c:v>44652</c:v>
                </c:pt>
                <c:pt idx="94">
                  <c:v>44682</c:v>
                </c:pt>
                <c:pt idx="95">
                  <c:v>44713</c:v>
                </c:pt>
                <c:pt idx="96">
                  <c:v>44743</c:v>
                </c:pt>
                <c:pt idx="97">
                  <c:v>44774</c:v>
                </c:pt>
                <c:pt idx="98">
                  <c:v>44805</c:v>
                </c:pt>
                <c:pt idx="99">
                  <c:v>44835</c:v>
                </c:pt>
                <c:pt idx="100">
                  <c:v>44866</c:v>
                </c:pt>
                <c:pt idx="101">
                  <c:v>44896</c:v>
                </c:pt>
                <c:pt idx="102">
                  <c:v>44927</c:v>
                </c:pt>
                <c:pt idx="103">
                  <c:v>44958</c:v>
                </c:pt>
                <c:pt idx="104">
                  <c:v>44986</c:v>
                </c:pt>
                <c:pt idx="105">
                  <c:v>45017</c:v>
                </c:pt>
                <c:pt idx="106">
                  <c:v>45047</c:v>
                </c:pt>
                <c:pt idx="107">
                  <c:v>45078</c:v>
                </c:pt>
                <c:pt idx="108">
                  <c:v>45108</c:v>
                </c:pt>
                <c:pt idx="109">
                  <c:v>45139</c:v>
                </c:pt>
                <c:pt idx="110">
                  <c:v>45170</c:v>
                </c:pt>
                <c:pt idx="111">
                  <c:v>45200</c:v>
                </c:pt>
                <c:pt idx="112">
                  <c:v>45231</c:v>
                </c:pt>
                <c:pt idx="113">
                  <c:v>45261</c:v>
                </c:pt>
                <c:pt idx="114">
                  <c:v>45292</c:v>
                </c:pt>
                <c:pt idx="115">
                  <c:v>45323</c:v>
                </c:pt>
                <c:pt idx="116">
                  <c:v>45352</c:v>
                </c:pt>
                <c:pt idx="117">
                  <c:v>45383</c:v>
                </c:pt>
                <c:pt idx="118">
                  <c:v>45413</c:v>
                </c:pt>
                <c:pt idx="119">
                  <c:v>45444</c:v>
                </c:pt>
                <c:pt idx="120">
                  <c:v>45468</c:v>
                </c:pt>
              </c:numCache>
            </c:numRef>
          </c:cat>
          <c:val>
            <c:numRef>
              <c:f>'[1]Week 7 Answer Sheet'!$G$2:$G$122</c:f>
              <c:numCache>
                <c:formatCode>0.00</c:formatCode>
                <c:ptCount val="121"/>
                <c:pt idx="0">
                  <c:v>36.220001000000003</c:v>
                </c:pt>
                <c:pt idx="1">
                  <c:v>37.880001</c:v>
                </c:pt>
                <c:pt idx="2">
                  <c:v>40.169998</c:v>
                </c:pt>
                <c:pt idx="3">
                  <c:v>40.150002000000001</c:v>
                </c:pt>
                <c:pt idx="4">
                  <c:v>44.16</c:v>
                </c:pt>
                <c:pt idx="5">
                  <c:v>45.330002</c:v>
                </c:pt>
                <c:pt idx="6">
                  <c:v>43.959999000000003</c:v>
                </c:pt>
                <c:pt idx="7">
                  <c:v>43.990001999999997</c:v>
                </c:pt>
                <c:pt idx="8">
                  <c:v>47.84</c:v>
                </c:pt>
                <c:pt idx="9">
                  <c:v>43.970001000000003</c:v>
                </c:pt>
                <c:pt idx="10">
                  <c:v>46.330002</c:v>
                </c:pt>
                <c:pt idx="11">
                  <c:v>49.389999000000003</c:v>
                </c:pt>
                <c:pt idx="12">
                  <c:v>53.290000999999997</c:v>
                </c:pt>
                <c:pt idx="13">
                  <c:v>49.23</c:v>
                </c:pt>
                <c:pt idx="14">
                  <c:v>49.700001</c:v>
                </c:pt>
                <c:pt idx="15">
                  <c:v>54.080002</c:v>
                </c:pt>
                <c:pt idx="16">
                  <c:v>50.529998999999997</c:v>
                </c:pt>
                <c:pt idx="17">
                  <c:v>54.48</c:v>
                </c:pt>
                <c:pt idx="18">
                  <c:v>48.130001</c:v>
                </c:pt>
                <c:pt idx="19">
                  <c:v>47.959999000000003</c:v>
                </c:pt>
                <c:pt idx="20">
                  <c:v>52.77</c:v>
                </c:pt>
                <c:pt idx="21">
                  <c:v>49.049999</c:v>
                </c:pt>
                <c:pt idx="22">
                  <c:v>47.740001999999997</c:v>
                </c:pt>
                <c:pt idx="23">
                  <c:v>44.200001</c:v>
                </c:pt>
                <c:pt idx="24">
                  <c:v>46.720001000000003</c:v>
                </c:pt>
                <c:pt idx="25">
                  <c:v>47.799999</c:v>
                </c:pt>
                <c:pt idx="26">
                  <c:v>48.82</c:v>
                </c:pt>
                <c:pt idx="27">
                  <c:v>49.099997999999999</c:v>
                </c:pt>
                <c:pt idx="28">
                  <c:v>51.41</c:v>
                </c:pt>
                <c:pt idx="29">
                  <c:v>52.060001</c:v>
                </c:pt>
                <c:pt idx="30">
                  <c:v>55.380001</c:v>
                </c:pt>
                <c:pt idx="31">
                  <c:v>55.950001</c:v>
                </c:pt>
                <c:pt idx="32">
                  <c:v>58.91</c:v>
                </c:pt>
                <c:pt idx="33">
                  <c:v>61.77</c:v>
                </c:pt>
                <c:pt idx="34">
                  <c:v>64.069999999999993</c:v>
                </c:pt>
                <c:pt idx="35">
                  <c:v>65.569999999999993</c:v>
                </c:pt>
                <c:pt idx="36">
                  <c:v>66.779999000000004</c:v>
                </c:pt>
                <c:pt idx="37">
                  <c:v>69.480002999999996</c:v>
                </c:pt>
                <c:pt idx="38">
                  <c:v>64.569999999999993</c:v>
                </c:pt>
                <c:pt idx="39">
                  <c:v>66.389999000000003</c:v>
                </c:pt>
                <c:pt idx="40">
                  <c:v>65.639999000000003</c:v>
                </c:pt>
                <c:pt idx="41">
                  <c:v>66.370002999999997</c:v>
                </c:pt>
                <c:pt idx="42">
                  <c:v>71.610000999999997</c:v>
                </c:pt>
                <c:pt idx="43">
                  <c:v>66.910004000000001</c:v>
                </c:pt>
                <c:pt idx="44">
                  <c:v>65.580001999999993</c:v>
                </c:pt>
                <c:pt idx="45">
                  <c:v>63.060001</c:v>
                </c:pt>
                <c:pt idx="46">
                  <c:v>62.279998999999997</c:v>
                </c:pt>
                <c:pt idx="47">
                  <c:v>57.310001</c:v>
                </c:pt>
                <c:pt idx="48">
                  <c:v>59.240001999999997</c:v>
                </c:pt>
                <c:pt idx="49">
                  <c:v>61.490001999999997</c:v>
                </c:pt>
                <c:pt idx="50">
                  <c:v>63.77</c:v>
                </c:pt>
                <c:pt idx="51">
                  <c:v>56.040000999999997</c:v>
                </c:pt>
                <c:pt idx="52">
                  <c:v>60.290000999999997</c:v>
                </c:pt>
                <c:pt idx="53">
                  <c:v>49.299999</c:v>
                </c:pt>
                <c:pt idx="54">
                  <c:v>57.580002</c:v>
                </c:pt>
                <c:pt idx="55">
                  <c:v>57.759998000000003</c:v>
                </c:pt>
                <c:pt idx="56">
                  <c:v>50.720001000000003</c:v>
                </c:pt>
                <c:pt idx="57">
                  <c:v>54.860000999999997</c:v>
                </c:pt>
                <c:pt idx="58">
                  <c:v>51.189999</c:v>
                </c:pt>
                <c:pt idx="59">
                  <c:v>46.549999</c:v>
                </c:pt>
                <c:pt idx="60">
                  <c:v>47.23</c:v>
                </c:pt>
                <c:pt idx="61">
                  <c:v>44.080002</c:v>
                </c:pt>
                <c:pt idx="62">
                  <c:v>43.709999000000003</c:v>
                </c:pt>
                <c:pt idx="63">
                  <c:v>42.889999000000003</c:v>
                </c:pt>
                <c:pt idx="64">
                  <c:v>45.080002</c:v>
                </c:pt>
                <c:pt idx="65">
                  <c:v>50.830002</c:v>
                </c:pt>
                <c:pt idx="66">
                  <c:v>43.529998999999997</c:v>
                </c:pt>
                <c:pt idx="67">
                  <c:v>33.459999000000003</c:v>
                </c:pt>
                <c:pt idx="68">
                  <c:v>13.17</c:v>
                </c:pt>
                <c:pt idx="69">
                  <c:v>15.9</c:v>
                </c:pt>
                <c:pt idx="70">
                  <c:v>15.74</c:v>
                </c:pt>
                <c:pt idx="71">
                  <c:v>16.420000000000002</c:v>
                </c:pt>
                <c:pt idx="72">
                  <c:v>13.88</c:v>
                </c:pt>
                <c:pt idx="73">
                  <c:v>16.48</c:v>
                </c:pt>
                <c:pt idx="74">
                  <c:v>15.18</c:v>
                </c:pt>
                <c:pt idx="75">
                  <c:v>13.71</c:v>
                </c:pt>
                <c:pt idx="76">
                  <c:v>19.98</c:v>
                </c:pt>
                <c:pt idx="77">
                  <c:v>21.66</c:v>
                </c:pt>
                <c:pt idx="78">
                  <c:v>18.670000000000002</c:v>
                </c:pt>
                <c:pt idx="79">
                  <c:v>26.75</c:v>
                </c:pt>
                <c:pt idx="80">
                  <c:v>26.540001</c:v>
                </c:pt>
                <c:pt idx="81">
                  <c:v>27.959999</c:v>
                </c:pt>
                <c:pt idx="82">
                  <c:v>29.559999000000001</c:v>
                </c:pt>
                <c:pt idx="83">
                  <c:v>26.360001</c:v>
                </c:pt>
                <c:pt idx="84">
                  <c:v>21.65</c:v>
                </c:pt>
                <c:pt idx="85">
                  <c:v>24.139999</c:v>
                </c:pt>
                <c:pt idx="86">
                  <c:v>25.01</c:v>
                </c:pt>
                <c:pt idx="87">
                  <c:v>22.16</c:v>
                </c:pt>
                <c:pt idx="88">
                  <c:v>17.620000999999998</c:v>
                </c:pt>
                <c:pt idx="89">
                  <c:v>20.120000999999998</c:v>
                </c:pt>
                <c:pt idx="90">
                  <c:v>19.809999000000001</c:v>
                </c:pt>
                <c:pt idx="91">
                  <c:v>20.329999999999998</c:v>
                </c:pt>
                <c:pt idx="92">
                  <c:v>20.219999000000001</c:v>
                </c:pt>
                <c:pt idx="93">
                  <c:v>17.299999</c:v>
                </c:pt>
                <c:pt idx="94">
                  <c:v>13.88</c:v>
                </c:pt>
                <c:pt idx="95">
                  <c:v>8.65</c:v>
                </c:pt>
                <c:pt idx="96">
                  <c:v>9.06</c:v>
                </c:pt>
                <c:pt idx="97">
                  <c:v>9.4600000000000009</c:v>
                </c:pt>
                <c:pt idx="98">
                  <c:v>7.03</c:v>
                </c:pt>
                <c:pt idx="99">
                  <c:v>9.06</c:v>
                </c:pt>
                <c:pt idx="100">
                  <c:v>9.93</c:v>
                </c:pt>
                <c:pt idx="101">
                  <c:v>8.06</c:v>
                </c:pt>
                <c:pt idx="102">
                  <c:v>10.82</c:v>
                </c:pt>
                <c:pt idx="103">
                  <c:v>10.62</c:v>
                </c:pt>
                <c:pt idx="104">
                  <c:v>10.15</c:v>
                </c:pt>
                <c:pt idx="105">
                  <c:v>9.2100000000000009</c:v>
                </c:pt>
                <c:pt idx="106">
                  <c:v>11.23</c:v>
                </c:pt>
                <c:pt idx="107">
                  <c:v>18.829999999999998</c:v>
                </c:pt>
                <c:pt idx="108">
                  <c:v>18.84</c:v>
                </c:pt>
                <c:pt idx="109">
                  <c:v>15.82</c:v>
                </c:pt>
                <c:pt idx="110">
                  <c:v>13.72</c:v>
                </c:pt>
                <c:pt idx="111">
                  <c:v>11.46</c:v>
                </c:pt>
                <c:pt idx="112">
                  <c:v>15.06</c:v>
                </c:pt>
                <c:pt idx="113">
                  <c:v>18.540001</c:v>
                </c:pt>
                <c:pt idx="114">
                  <c:v>16.579999999999998</c:v>
                </c:pt>
                <c:pt idx="115">
                  <c:v>15.86</c:v>
                </c:pt>
                <c:pt idx="116">
                  <c:v>16.34</c:v>
                </c:pt>
                <c:pt idx="117">
                  <c:v>14.82</c:v>
                </c:pt>
                <c:pt idx="118">
                  <c:v>15.08</c:v>
                </c:pt>
                <c:pt idx="119">
                  <c:v>16.389999</c:v>
                </c:pt>
                <c:pt idx="120">
                  <c:v>17.689899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E-436A-8A6B-58E5D5A37C77}"/>
            </c:ext>
          </c:extLst>
        </c:ser>
        <c:ser>
          <c:idx val="1"/>
          <c:order val="1"/>
          <c:tx>
            <c:strRef>
              <c:f>'[1]Week 7 Answer Sheet'!$K$1</c:f>
              <c:strCache>
                <c:ptCount val="1"/>
                <c:pt idx="0">
                  <c:v>MA(4)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'[1]Week 7 Answer Sheet'!$C$2:$C$122</c:f>
              <c:numCache>
                <c:formatCode>m/d/yyyy</c:formatCode>
                <c:ptCount val="121"/>
                <c:pt idx="0">
                  <c:v>41821</c:v>
                </c:pt>
                <c:pt idx="1">
                  <c:v>41852</c:v>
                </c:pt>
                <c:pt idx="2">
                  <c:v>41883</c:v>
                </c:pt>
                <c:pt idx="3">
                  <c:v>41913</c:v>
                </c:pt>
                <c:pt idx="4">
                  <c:v>41944</c:v>
                </c:pt>
                <c:pt idx="5">
                  <c:v>41974</c:v>
                </c:pt>
                <c:pt idx="6">
                  <c:v>42005</c:v>
                </c:pt>
                <c:pt idx="7">
                  <c:v>42036</c:v>
                </c:pt>
                <c:pt idx="8">
                  <c:v>42064</c:v>
                </c:pt>
                <c:pt idx="9">
                  <c:v>42095</c:v>
                </c:pt>
                <c:pt idx="10">
                  <c:v>42125</c:v>
                </c:pt>
                <c:pt idx="11">
                  <c:v>42156</c:v>
                </c:pt>
                <c:pt idx="12">
                  <c:v>42186</c:v>
                </c:pt>
                <c:pt idx="13">
                  <c:v>42217</c:v>
                </c:pt>
                <c:pt idx="14">
                  <c:v>42248</c:v>
                </c:pt>
                <c:pt idx="15">
                  <c:v>42278</c:v>
                </c:pt>
                <c:pt idx="16">
                  <c:v>42309</c:v>
                </c:pt>
                <c:pt idx="17">
                  <c:v>42339</c:v>
                </c:pt>
                <c:pt idx="18">
                  <c:v>42370</c:v>
                </c:pt>
                <c:pt idx="19">
                  <c:v>42401</c:v>
                </c:pt>
                <c:pt idx="20">
                  <c:v>42430</c:v>
                </c:pt>
                <c:pt idx="21">
                  <c:v>42461</c:v>
                </c:pt>
                <c:pt idx="22">
                  <c:v>42491</c:v>
                </c:pt>
                <c:pt idx="23">
                  <c:v>42522</c:v>
                </c:pt>
                <c:pt idx="24">
                  <c:v>42552</c:v>
                </c:pt>
                <c:pt idx="25">
                  <c:v>42583</c:v>
                </c:pt>
                <c:pt idx="26">
                  <c:v>42614</c:v>
                </c:pt>
                <c:pt idx="27">
                  <c:v>42644</c:v>
                </c:pt>
                <c:pt idx="28">
                  <c:v>42675</c:v>
                </c:pt>
                <c:pt idx="29">
                  <c:v>42705</c:v>
                </c:pt>
                <c:pt idx="30">
                  <c:v>42736</c:v>
                </c:pt>
                <c:pt idx="31">
                  <c:v>42767</c:v>
                </c:pt>
                <c:pt idx="32">
                  <c:v>42795</c:v>
                </c:pt>
                <c:pt idx="33">
                  <c:v>42826</c:v>
                </c:pt>
                <c:pt idx="34">
                  <c:v>42856</c:v>
                </c:pt>
                <c:pt idx="35">
                  <c:v>42887</c:v>
                </c:pt>
                <c:pt idx="36">
                  <c:v>42917</c:v>
                </c:pt>
                <c:pt idx="37">
                  <c:v>42948</c:v>
                </c:pt>
                <c:pt idx="38">
                  <c:v>42979</c:v>
                </c:pt>
                <c:pt idx="39">
                  <c:v>43009</c:v>
                </c:pt>
                <c:pt idx="40">
                  <c:v>43040</c:v>
                </c:pt>
                <c:pt idx="41">
                  <c:v>43070</c:v>
                </c:pt>
                <c:pt idx="42">
                  <c:v>43101</c:v>
                </c:pt>
                <c:pt idx="43">
                  <c:v>43132</c:v>
                </c:pt>
                <c:pt idx="44">
                  <c:v>43160</c:v>
                </c:pt>
                <c:pt idx="45">
                  <c:v>43191</c:v>
                </c:pt>
                <c:pt idx="46">
                  <c:v>43221</c:v>
                </c:pt>
                <c:pt idx="47">
                  <c:v>43252</c:v>
                </c:pt>
                <c:pt idx="48">
                  <c:v>43282</c:v>
                </c:pt>
                <c:pt idx="49">
                  <c:v>43313</c:v>
                </c:pt>
                <c:pt idx="50">
                  <c:v>43344</c:v>
                </c:pt>
                <c:pt idx="51">
                  <c:v>43374</c:v>
                </c:pt>
                <c:pt idx="52">
                  <c:v>43405</c:v>
                </c:pt>
                <c:pt idx="53">
                  <c:v>43435</c:v>
                </c:pt>
                <c:pt idx="54">
                  <c:v>43466</c:v>
                </c:pt>
                <c:pt idx="55">
                  <c:v>43497</c:v>
                </c:pt>
                <c:pt idx="56">
                  <c:v>43525</c:v>
                </c:pt>
                <c:pt idx="57">
                  <c:v>43556</c:v>
                </c:pt>
                <c:pt idx="58">
                  <c:v>43586</c:v>
                </c:pt>
                <c:pt idx="59">
                  <c:v>43617</c:v>
                </c:pt>
                <c:pt idx="60">
                  <c:v>43647</c:v>
                </c:pt>
                <c:pt idx="61">
                  <c:v>43678</c:v>
                </c:pt>
                <c:pt idx="62">
                  <c:v>43709</c:v>
                </c:pt>
                <c:pt idx="63">
                  <c:v>43739</c:v>
                </c:pt>
                <c:pt idx="64">
                  <c:v>43770</c:v>
                </c:pt>
                <c:pt idx="65">
                  <c:v>43800</c:v>
                </c:pt>
                <c:pt idx="66">
                  <c:v>43831</c:v>
                </c:pt>
                <c:pt idx="67">
                  <c:v>43862</c:v>
                </c:pt>
                <c:pt idx="68">
                  <c:v>43891</c:v>
                </c:pt>
                <c:pt idx="69">
                  <c:v>43922</c:v>
                </c:pt>
                <c:pt idx="70">
                  <c:v>43952</c:v>
                </c:pt>
                <c:pt idx="71">
                  <c:v>43983</c:v>
                </c:pt>
                <c:pt idx="72">
                  <c:v>44013</c:v>
                </c:pt>
                <c:pt idx="73">
                  <c:v>44044</c:v>
                </c:pt>
                <c:pt idx="74">
                  <c:v>44075</c:v>
                </c:pt>
                <c:pt idx="75">
                  <c:v>44105</c:v>
                </c:pt>
                <c:pt idx="76">
                  <c:v>44136</c:v>
                </c:pt>
                <c:pt idx="77">
                  <c:v>44166</c:v>
                </c:pt>
                <c:pt idx="78">
                  <c:v>44197</c:v>
                </c:pt>
                <c:pt idx="79">
                  <c:v>44228</c:v>
                </c:pt>
                <c:pt idx="80">
                  <c:v>44256</c:v>
                </c:pt>
                <c:pt idx="81">
                  <c:v>44287</c:v>
                </c:pt>
                <c:pt idx="82">
                  <c:v>44317</c:v>
                </c:pt>
                <c:pt idx="83">
                  <c:v>44348</c:v>
                </c:pt>
                <c:pt idx="84">
                  <c:v>44378</c:v>
                </c:pt>
                <c:pt idx="85">
                  <c:v>44409</c:v>
                </c:pt>
                <c:pt idx="86">
                  <c:v>44440</c:v>
                </c:pt>
                <c:pt idx="87">
                  <c:v>44470</c:v>
                </c:pt>
                <c:pt idx="88">
                  <c:v>44501</c:v>
                </c:pt>
                <c:pt idx="89">
                  <c:v>44531</c:v>
                </c:pt>
                <c:pt idx="90">
                  <c:v>44562</c:v>
                </c:pt>
                <c:pt idx="91">
                  <c:v>44593</c:v>
                </c:pt>
                <c:pt idx="92">
                  <c:v>44621</c:v>
                </c:pt>
                <c:pt idx="93">
                  <c:v>44652</c:v>
                </c:pt>
                <c:pt idx="94">
                  <c:v>44682</c:v>
                </c:pt>
                <c:pt idx="95">
                  <c:v>44713</c:v>
                </c:pt>
                <c:pt idx="96">
                  <c:v>44743</c:v>
                </c:pt>
                <c:pt idx="97">
                  <c:v>44774</c:v>
                </c:pt>
                <c:pt idx="98">
                  <c:v>44805</c:v>
                </c:pt>
                <c:pt idx="99">
                  <c:v>44835</c:v>
                </c:pt>
                <c:pt idx="100">
                  <c:v>44866</c:v>
                </c:pt>
                <c:pt idx="101">
                  <c:v>44896</c:v>
                </c:pt>
                <c:pt idx="102">
                  <c:v>44927</c:v>
                </c:pt>
                <c:pt idx="103">
                  <c:v>44958</c:v>
                </c:pt>
                <c:pt idx="104">
                  <c:v>44986</c:v>
                </c:pt>
                <c:pt idx="105">
                  <c:v>45017</c:v>
                </c:pt>
                <c:pt idx="106">
                  <c:v>45047</c:v>
                </c:pt>
                <c:pt idx="107">
                  <c:v>45078</c:v>
                </c:pt>
                <c:pt idx="108">
                  <c:v>45108</c:v>
                </c:pt>
                <c:pt idx="109">
                  <c:v>45139</c:v>
                </c:pt>
                <c:pt idx="110">
                  <c:v>45170</c:v>
                </c:pt>
                <c:pt idx="111">
                  <c:v>45200</c:v>
                </c:pt>
                <c:pt idx="112">
                  <c:v>45231</c:v>
                </c:pt>
                <c:pt idx="113">
                  <c:v>45261</c:v>
                </c:pt>
                <c:pt idx="114">
                  <c:v>45292</c:v>
                </c:pt>
                <c:pt idx="115">
                  <c:v>45323</c:v>
                </c:pt>
                <c:pt idx="116">
                  <c:v>45352</c:v>
                </c:pt>
                <c:pt idx="117">
                  <c:v>45383</c:v>
                </c:pt>
                <c:pt idx="118">
                  <c:v>45413</c:v>
                </c:pt>
                <c:pt idx="119">
                  <c:v>45444</c:v>
                </c:pt>
                <c:pt idx="120">
                  <c:v>45468</c:v>
                </c:pt>
              </c:numCache>
            </c:numRef>
          </c:cat>
          <c:val>
            <c:numRef>
              <c:f>'[1]Week 7 Answer Sheet'!$K$2:$K$122</c:f>
              <c:numCache>
                <c:formatCode>0.00</c:formatCode>
                <c:ptCount val="121"/>
                <c:pt idx="4">
                  <c:v>39.716000399999999</c:v>
                </c:pt>
                <c:pt idx="5">
                  <c:v>41.538000600000004</c:v>
                </c:pt>
                <c:pt idx="6">
                  <c:v>42.7540002</c:v>
                </c:pt>
                <c:pt idx="7">
                  <c:v>43.518001000000005</c:v>
                </c:pt>
                <c:pt idx="8">
                  <c:v>45.056000600000004</c:v>
                </c:pt>
                <c:pt idx="9">
                  <c:v>45.018000799999996</c:v>
                </c:pt>
                <c:pt idx="10">
                  <c:v>45.218000800000006</c:v>
                </c:pt>
                <c:pt idx="11">
                  <c:v>46.304000800000004</c:v>
                </c:pt>
                <c:pt idx="12">
                  <c:v>48.164000600000001</c:v>
                </c:pt>
                <c:pt idx="13">
                  <c:v>48.442000599999993</c:v>
                </c:pt>
                <c:pt idx="14">
                  <c:v>49.588000600000001</c:v>
                </c:pt>
                <c:pt idx="15">
                  <c:v>51.138000600000005</c:v>
                </c:pt>
                <c:pt idx="16">
                  <c:v>51.366000599999992</c:v>
                </c:pt>
                <c:pt idx="17">
                  <c:v>51.604000400000004</c:v>
                </c:pt>
                <c:pt idx="18">
                  <c:v>51.3840006</c:v>
                </c:pt>
                <c:pt idx="19">
                  <c:v>51.036000200000004</c:v>
                </c:pt>
                <c:pt idx="20">
                  <c:v>50.773999799999999</c:v>
                </c:pt>
                <c:pt idx="21">
                  <c:v>50.477999799999999</c:v>
                </c:pt>
                <c:pt idx="22">
                  <c:v>49.130000200000005</c:v>
                </c:pt>
                <c:pt idx="23">
                  <c:v>48.344000200000004</c:v>
                </c:pt>
                <c:pt idx="24">
                  <c:v>48.096000599999996</c:v>
                </c:pt>
                <c:pt idx="25">
                  <c:v>47.102000399999994</c:v>
                </c:pt>
                <c:pt idx="26">
                  <c:v>47.05600059999999</c:v>
                </c:pt>
                <c:pt idx="27">
                  <c:v>47.327999800000001</c:v>
                </c:pt>
                <c:pt idx="28">
                  <c:v>48.769999599999998</c:v>
                </c:pt>
                <c:pt idx="29">
                  <c:v>49.837999600000003</c:v>
                </c:pt>
                <c:pt idx="30">
                  <c:v>51.353999999999999</c:v>
                </c:pt>
                <c:pt idx="31">
                  <c:v>52.780000199999996</c:v>
                </c:pt>
                <c:pt idx="32">
                  <c:v>54.742000600000004</c:v>
                </c:pt>
                <c:pt idx="33">
                  <c:v>56.8140006</c:v>
                </c:pt>
                <c:pt idx="34">
                  <c:v>59.216000400000006</c:v>
                </c:pt>
                <c:pt idx="35">
                  <c:v>61.254000199999993</c:v>
                </c:pt>
                <c:pt idx="36">
                  <c:v>63.419999800000006</c:v>
                </c:pt>
                <c:pt idx="37">
                  <c:v>65.534000399999996</c:v>
                </c:pt>
                <c:pt idx="38">
                  <c:v>66.094000399999999</c:v>
                </c:pt>
                <c:pt idx="39">
                  <c:v>66.558000199999995</c:v>
                </c:pt>
                <c:pt idx="40">
                  <c:v>66.571999999999989</c:v>
                </c:pt>
                <c:pt idx="41">
                  <c:v>66.49000079999999</c:v>
                </c:pt>
                <c:pt idx="42">
                  <c:v>66.916000400000001</c:v>
                </c:pt>
                <c:pt idx="43">
                  <c:v>67.3840012</c:v>
                </c:pt>
                <c:pt idx="44">
                  <c:v>67.222001800000001</c:v>
                </c:pt>
                <c:pt idx="45">
                  <c:v>66.7060022</c:v>
                </c:pt>
                <c:pt idx="46">
                  <c:v>65.888001399999993</c:v>
                </c:pt>
                <c:pt idx="47">
                  <c:v>63.028001399999994</c:v>
                </c:pt>
                <c:pt idx="48">
                  <c:v>61.49400099999999</c:v>
                </c:pt>
                <c:pt idx="49">
                  <c:v>60.676000999999999</c:v>
                </c:pt>
                <c:pt idx="50">
                  <c:v>60.818000800000007</c:v>
                </c:pt>
                <c:pt idx="51">
                  <c:v>59.5700012</c:v>
                </c:pt>
                <c:pt idx="52">
                  <c:v>60.166001199999997</c:v>
                </c:pt>
                <c:pt idx="53">
                  <c:v>58.178000599999997</c:v>
                </c:pt>
                <c:pt idx="54">
                  <c:v>57.396000599999994</c:v>
                </c:pt>
                <c:pt idx="55">
                  <c:v>56.194000200000005</c:v>
                </c:pt>
                <c:pt idx="56">
                  <c:v>55.130000200000005</c:v>
                </c:pt>
                <c:pt idx="57">
                  <c:v>54.044000199999992</c:v>
                </c:pt>
                <c:pt idx="58">
                  <c:v>54.422000199999999</c:v>
                </c:pt>
                <c:pt idx="59">
                  <c:v>52.215999599999996</c:v>
                </c:pt>
                <c:pt idx="60">
                  <c:v>50.11</c:v>
                </c:pt>
                <c:pt idx="61">
                  <c:v>48.782000199999999</c:v>
                </c:pt>
                <c:pt idx="62">
                  <c:v>46.551999800000004</c:v>
                </c:pt>
                <c:pt idx="63">
                  <c:v>44.891999800000008</c:v>
                </c:pt>
                <c:pt idx="64">
                  <c:v>44.598000400000004</c:v>
                </c:pt>
                <c:pt idx="65">
                  <c:v>45.318000800000007</c:v>
                </c:pt>
                <c:pt idx="66">
                  <c:v>45.208000200000001</c:v>
                </c:pt>
                <c:pt idx="67">
                  <c:v>43.158000200000004</c:v>
                </c:pt>
                <c:pt idx="68">
                  <c:v>37.214000399999996</c:v>
                </c:pt>
                <c:pt idx="69">
                  <c:v>31.377999999999997</c:v>
                </c:pt>
                <c:pt idx="70">
                  <c:v>24.359999600000002</c:v>
                </c:pt>
                <c:pt idx="71">
                  <c:v>18.9379998</c:v>
                </c:pt>
                <c:pt idx="72">
                  <c:v>15.022</c:v>
                </c:pt>
                <c:pt idx="73">
                  <c:v>15.684000000000001</c:v>
                </c:pt>
                <c:pt idx="74">
                  <c:v>15.540000000000003</c:v>
                </c:pt>
                <c:pt idx="75">
                  <c:v>15.134</c:v>
                </c:pt>
                <c:pt idx="76">
                  <c:v>15.846</c:v>
                </c:pt>
                <c:pt idx="77">
                  <c:v>17.402000000000001</c:v>
                </c:pt>
                <c:pt idx="78">
                  <c:v>17.84</c:v>
                </c:pt>
                <c:pt idx="79">
                  <c:v>20.154</c:v>
                </c:pt>
                <c:pt idx="80">
                  <c:v>22.720000200000001</c:v>
                </c:pt>
                <c:pt idx="81">
                  <c:v>24.315999999999999</c:v>
                </c:pt>
                <c:pt idx="82">
                  <c:v>25.895999799999998</c:v>
                </c:pt>
                <c:pt idx="83">
                  <c:v>27.434000000000005</c:v>
                </c:pt>
                <c:pt idx="84">
                  <c:v>26.413999999999998</c:v>
                </c:pt>
                <c:pt idx="85">
                  <c:v>25.9339996</c:v>
                </c:pt>
                <c:pt idx="86">
                  <c:v>25.343999799999999</c:v>
                </c:pt>
                <c:pt idx="87">
                  <c:v>23.864000000000001</c:v>
                </c:pt>
                <c:pt idx="88">
                  <c:v>22.116</c:v>
                </c:pt>
                <c:pt idx="89">
                  <c:v>21.810000200000001</c:v>
                </c:pt>
                <c:pt idx="90">
                  <c:v>20.944000200000001</c:v>
                </c:pt>
                <c:pt idx="91">
                  <c:v>20.008000200000001</c:v>
                </c:pt>
                <c:pt idx="92">
                  <c:v>19.619999999999997</c:v>
                </c:pt>
                <c:pt idx="93">
                  <c:v>19.5559996</c:v>
                </c:pt>
                <c:pt idx="94">
                  <c:v>18.3079994</c:v>
                </c:pt>
                <c:pt idx="95">
                  <c:v>16.075999599999999</c:v>
                </c:pt>
                <c:pt idx="96">
                  <c:v>13.821999600000002</c:v>
                </c:pt>
                <c:pt idx="97">
                  <c:v>11.669999800000001</c:v>
                </c:pt>
                <c:pt idx="98">
                  <c:v>9.6160000000000014</c:v>
                </c:pt>
                <c:pt idx="99">
                  <c:v>8.652000000000001</c:v>
                </c:pt>
                <c:pt idx="100">
                  <c:v>8.9080000000000013</c:v>
                </c:pt>
                <c:pt idx="101">
                  <c:v>8.708000000000002</c:v>
                </c:pt>
                <c:pt idx="102">
                  <c:v>8.98</c:v>
                </c:pt>
                <c:pt idx="103">
                  <c:v>9.6980000000000004</c:v>
                </c:pt>
                <c:pt idx="104">
                  <c:v>9.9160000000000004</c:v>
                </c:pt>
                <c:pt idx="105">
                  <c:v>9.7720000000000002</c:v>
                </c:pt>
                <c:pt idx="106">
                  <c:v>10.406000000000001</c:v>
                </c:pt>
                <c:pt idx="107">
                  <c:v>12.007999999999999</c:v>
                </c:pt>
                <c:pt idx="108">
                  <c:v>13.652000000000001</c:v>
                </c:pt>
                <c:pt idx="109">
                  <c:v>14.786000000000001</c:v>
                </c:pt>
                <c:pt idx="110">
                  <c:v>15.687999999999999</c:v>
                </c:pt>
                <c:pt idx="111">
                  <c:v>15.734000000000004</c:v>
                </c:pt>
                <c:pt idx="112">
                  <c:v>14.979999999999999</c:v>
                </c:pt>
                <c:pt idx="113">
                  <c:v>14.9200002</c:v>
                </c:pt>
                <c:pt idx="114">
                  <c:v>15.0720002</c:v>
                </c:pt>
                <c:pt idx="115">
                  <c:v>15.500000199999999</c:v>
                </c:pt>
                <c:pt idx="116">
                  <c:v>16.476000199999998</c:v>
                </c:pt>
                <c:pt idx="117">
                  <c:v>16.428000200000003</c:v>
                </c:pt>
                <c:pt idx="118">
                  <c:v>15.736000000000001</c:v>
                </c:pt>
                <c:pt idx="119">
                  <c:v>15.6979998</c:v>
                </c:pt>
                <c:pt idx="120">
                  <c:v>16.0639796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8E-436A-8A6B-58E5D5A37C77}"/>
            </c:ext>
          </c:extLst>
        </c:ser>
        <c:ser>
          <c:idx val="2"/>
          <c:order val="2"/>
          <c:tx>
            <c:strRef>
              <c:f>'[1]Week 7 Answer Sheet'!$L$1</c:f>
              <c:strCache>
                <c:ptCount val="1"/>
                <c:pt idx="0">
                  <c:v>MA(10)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'[1]Week 7 Answer Sheet'!$C$2:$C$122</c:f>
              <c:numCache>
                <c:formatCode>m/d/yyyy</c:formatCode>
                <c:ptCount val="121"/>
                <c:pt idx="0">
                  <c:v>41821</c:v>
                </c:pt>
                <c:pt idx="1">
                  <c:v>41852</c:v>
                </c:pt>
                <c:pt idx="2">
                  <c:v>41883</c:v>
                </c:pt>
                <c:pt idx="3">
                  <c:v>41913</c:v>
                </c:pt>
                <c:pt idx="4">
                  <c:v>41944</c:v>
                </c:pt>
                <c:pt idx="5">
                  <c:v>41974</c:v>
                </c:pt>
                <c:pt idx="6">
                  <c:v>42005</c:v>
                </c:pt>
                <c:pt idx="7">
                  <c:v>42036</c:v>
                </c:pt>
                <c:pt idx="8">
                  <c:v>42064</c:v>
                </c:pt>
                <c:pt idx="9">
                  <c:v>42095</c:v>
                </c:pt>
                <c:pt idx="10">
                  <c:v>42125</c:v>
                </c:pt>
                <c:pt idx="11">
                  <c:v>42156</c:v>
                </c:pt>
                <c:pt idx="12">
                  <c:v>42186</c:v>
                </c:pt>
                <c:pt idx="13">
                  <c:v>42217</c:v>
                </c:pt>
                <c:pt idx="14">
                  <c:v>42248</c:v>
                </c:pt>
                <c:pt idx="15">
                  <c:v>42278</c:v>
                </c:pt>
                <c:pt idx="16">
                  <c:v>42309</c:v>
                </c:pt>
                <c:pt idx="17">
                  <c:v>42339</c:v>
                </c:pt>
                <c:pt idx="18">
                  <c:v>42370</c:v>
                </c:pt>
                <c:pt idx="19">
                  <c:v>42401</c:v>
                </c:pt>
                <c:pt idx="20">
                  <c:v>42430</c:v>
                </c:pt>
                <c:pt idx="21">
                  <c:v>42461</c:v>
                </c:pt>
                <c:pt idx="22">
                  <c:v>42491</c:v>
                </c:pt>
                <c:pt idx="23">
                  <c:v>42522</c:v>
                </c:pt>
                <c:pt idx="24">
                  <c:v>42552</c:v>
                </c:pt>
                <c:pt idx="25">
                  <c:v>42583</c:v>
                </c:pt>
                <c:pt idx="26">
                  <c:v>42614</c:v>
                </c:pt>
                <c:pt idx="27">
                  <c:v>42644</c:v>
                </c:pt>
                <c:pt idx="28">
                  <c:v>42675</c:v>
                </c:pt>
                <c:pt idx="29">
                  <c:v>42705</c:v>
                </c:pt>
                <c:pt idx="30">
                  <c:v>42736</c:v>
                </c:pt>
                <c:pt idx="31">
                  <c:v>42767</c:v>
                </c:pt>
                <c:pt idx="32">
                  <c:v>42795</c:v>
                </c:pt>
                <c:pt idx="33">
                  <c:v>42826</c:v>
                </c:pt>
                <c:pt idx="34">
                  <c:v>42856</c:v>
                </c:pt>
                <c:pt idx="35">
                  <c:v>42887</c:v>
                </c:pt>
                <c:pt idx="36">
                  <c:v>42917</c:v>
                </c:pt>
                <c:pt idx="37">
                  <c:v>42948</c:v>
                </c:pt>
                <c:pt idx="38">
                  <c:v>42979</c:v>
                </c:pt>
                <c:pt idx="39">
                  <c:v>43009</c:v>
                </c:pt>
                <c:pt idx="40">
                  <c:v>43040</c:v>
                </c:pt>
                <c:pt idx="41">
                  <c:v>43070</c:v>
                </c:pt>
                <c:pt idx="42">
                  <c:v>43101</c:v>
                </c:pt>
                <c:pt idx="43">
                  <c:v>43132</c:v>
                </c:pt>
                <c:pt idx="44">
                  <c:v>43160</c:v>
                </c:pt>
                <c:pt idx="45">
                  <c:v>43191</c:v>
                </c:pt>
                <c:pt idx="46">
                  <c:v>43221</c:v>
                </c:pt>
                <c:pt idx="47">
                  <c:v>43252</c:v>
                </c:pt>
                <c:pt idx="48">
                  <c:v>43282</c:v>
                </c:pt>
                <c:pt idx="49">
                  <c:v>43313</c:v>
                </c:pt>
                <c:pt idx="50">
                  <c:v>43344</c:v>
                </c:pt>
                <c:pt idx="51">
                  <c:v>43374</c:v>
                </c:pt>
                <c:pt idx="52">
                  <c:v>43405</c:v>
                </c:pt>
                <c:pt idx="53">
                  <c:v>43435</c:v>
                </c:pt>
                <c:pt idx="54">
                  <c:v>43466</c:v>
                </c:pt>
                <c:pt idx="55">
                  <c:v>43497</c:v>
                </c:pt>
                <c:pt idx="56">
                  <c:v>43525</c:v>
                </c:pt>
                <c:pt idx="57">
                  <c:v>43556</c:v>
                </c:pt>
                <c:pt idx="58">
                  <c:v>43586</c:v>
                </c:pt>
                <c:pt idx="59">
                  <c:v>43617</c:v>
                </c:pt>
                <c:pt idx="60">
                  <c:v>43647</c:v>
                </c:pt>
                <c:pt idx="61">
                  <c:v>43678</c:v>
                </c:pt>
                <c:pt idx="62">
                  <c:v>43709</c:v>
                </c:pt>
                <c:pt idx="63">
                  <c:v>43739</c:v>
                </c:pt>
                <c:pt idx="64">
                  <c:v>43770</c:v>
                </c:pt>
                <c:pt idx="65">
                  <c:v>43800</c:v>
                </c:pt>
                <c:pt idx="66">
                  <c:v>43831</c:v>
                </c:pt>
                <c:pt idx="67">
                  <c:v>43862</c:v>
                </c:pt>
                <c:pt idx="68">
                  <c:v>43891</c:v>
                </c:pt>
                <c:pt idx="69">
                  <c:v>43922</c:v>
                </c:pt>
                <c:pt idx="70">
                  <c:v>43952</c:v>
                </c:pt>
                <c:pt idx="71">
                  <c:v>43983</c:v>
                </c:pt>
                <c:pt idx="72">
                  <c:v>44013</c:v>
                </c:pt>
                <c:pt idx="73">
                  <c:v>44044</c:v>
                </c:pt>
                <c:pt idx="74">
                  <c:v>44075</c:v>
                </c:pt>
                <c:pt idx="75">
                  <c:v>44105</c:v>
                </c:pt>
                <c:pt idx="76">
                  <c:v>44136</c:v>
                </c:pt>
                <c:pt idx="77">
                  <c:v>44166</c:v>
                </c:pt>
                <c:pt idx="78">
                  <c:v>44197</c:v>
                </c:pt>
                <c:pt idx="79">
                  <c:v>44228</c:v>
                </c:pt>
                <c:pt idx="80">
                  <c:v>44256</c:v>
                </c:pt>
                <c:pt idx="81">
                  <c:v>44287</c:v>
                </c:pt>
                <c:pt idx="82">
                  <c:v>44317</c:v>
                </c:pt>
                <c:pt idx="83">
                  <c:v>44348</c:v>
                </c:pt>
                <c:pt idx="84">
                  <c:v>44378</c:v>
                </c:pt>
                <c:pt idx="85">
                  <c:v>44409</c:v>
                </c:pt>
                <c:pt idx="86">
                  <c:v>44440</c:v>
                </c:pt>
                <c:pt idx="87">
                  <c:v>44470</c:v>
                </c:pt>
                <c:pt idx="88">
                  <c:v>44501</c:v>
                </c:pt>
                <c:pt idx="89">
                  <c:v>44531</c:v>
                </c:pt>
                <c:pt idx="90">
                  <c:v>44562</c:v>
                </c:pt>
                <c:pt idx="91">
                  <c:v>44593</c:v>
                </c:pt>
                <c:pt idx="92">
                  <c:v>44621</c:v>
                </c:pt>
                <c:pt idx="93">
                  <c:v>44652</c:v>
                </c:pt>
                <c:pt idx="94">
                  <c:v>44682</c:v>
                </c:pt>
                <c:pt idx="95">
                  <c:v>44713</c:v>
                </c:pt>
                <c:pt idx="96">
                  <c:v>44743</c:v>
                </c:pt>
                <c:pt idx="97">
                  <c:v>44774</c:v>
                </c:pt>
                <c:pt idx="98">
                  <c:v>44805</c:v>
                </c:pt>
                <c:pt idx="99">
                  <c:v>44835</c:v>
                </c:pt>
                <c:pt idx="100">
                  <c:v>44866</c:v>
                </c:pt>
                <c:pt idx="101">
                  <c:v>44896</c:v>
                </c:pt>
                <c:pt idx="102">
                  <c:v>44927</c:v>
                </c:pt>
                <c:pt idx="103">
                  <c:v>44958</c:v>
                </c:pt>
                <c:pt idx="104">
                  <c:v>44986</c:v>
                </c:pt>
                <c:pt idx="105">
                  <c:v>45017</c:v>
                </c:pt>
                <c:pt idx="106">
                  <c:v>45047</c:v>
                </c:pt>
                <c:pt idx="107">
                  <c:v>45078</c:v>
                </c:pt>
                <c:pt idx="108">
                  <c:v>45108</c:v>
                </c:pt>
                <c:pt idx="109">
                  <c:v>45139</c:v>
                </c:pt>
                <c:pt idx="110">
                  <c:v>45170</c:v>
                </c:pt>
                <c:pt idx="111">
                  <c:v>45200</c:v>
                </c:pt>
                <c:pt idx="112">
                  <c:v>45231</c:v>
                </c:pt>
                <c:pt idx="113">
                  <c:v>45261</c:v>
                </c:pt>
                <c:pt idx="114">
                  <c:v>45292</c:v>
                </c:pt>
                <c:pt idx="115">
                  <c:v>45323</c:v>
                </c:pt>
                <c:pt idx="116">
                  <c:v>45352</c:v>
                </c:pt>
                <c:pt idx="117">
                  <c:v>45383</c:v>
                </c:pt>
                <c:pt idx="118">
                  <c:v>45413</c:v>
                </c:pt>
                <c:pt idx="119">
                  <c:v>45444</c:v>
                </c:pt>
                <c:pt idx="120">
                  <c:v>45468</c:v>
                </c:pt>
              </c:numCache>
            </c:numRef>
          </c:cat>
          <c:val>
            <c:numRef>
              <c:f>'[1]Week 7 Answer Sheet'!$L$2:$L$122</c:f>
              <c:numCache>
                <c:formatCode>General</c:formatCode>
                <c:ptCount val="121"/>
                <c:pt idx="9" formatCode="0.00">
                  <c:v>42.367000600000004</c:v>
                </c:pt>
                <c:pt idx="10" formatCode="0.00">
                  <c:v>43.378000700000001</c:v>
                </c:pt>
                <c:pt idx="11" formatCode="0.00">
                  <c:v>44.529000500000002</c:v>
                </c:pt>
                <c:pt idx="12" formatCode="0.00">
                  <c:v>45.841000800000003</c:v>
                </c:pt>
                <c:pt idx="13" formatCode="0.00">
                  <c:v>46.749000600000002</c:v>
                </c:pt>
                <c:pt idx="14" formatCode="0.00">
                  <c:v>47.303000699999998</c:v>
                </c:pt>
                <c:pt idx="15" formatCode="0.00">
                  <c:v>48.178000699999998</c:v>
                </c:pt>
                <c:pt idx="16" formatCode="0.00">
                  <c:v>48.835000700000002</c:v>
                </c:pt>
                <c:pt idx="17" formatCode="0.00">
                  <c:v>49.884000499999999</c:v>
                </c:pt>
                <c:pt idx="18" formatCode="0.00">
                  <c:v>49.91300059999999</c:v>
                </c:pt>
                <c:pt idx="19" formatCode="0.00">
                  <c:v>50.312000399999995</c:v>
                </c:pt>
                <c:pt idx="20" formatCode="0.00">
                  <c:v>50.956000199999998</c:v>
                </c:pt>
                <c:pt idx="21" formatCode="0.00">
                  <c:v>50.922000199999999</c:v>
                </c:pt>
                <c:pt idx="22" formatCode="0.00">
                  <c:v>50.367000300000001</c:v>
                </c:pt>
                <c:pt idx="23" formatCode="0.00">
                  <c:v>49.864000399999995</c:v>
                </c:pt>
                <c:pt idx="24" formatCode="0.00">
                  <c:v>49.5660004</c:v>
                </c:pt>
                <c:pt idx="25" formatCode="0.00">
                  <c:v>48.938000100000004</c:v>
                </c:pt>
                <c:pt idx="26" formatCode="0.00">
                  <c:v>48.767000199999998</c:v>
                </c:pt>
                <c:pt idx="27" formatCode="0.00">
                  <c:v>48.229000000000006</c:v>
                </c:pt>
                <c:pt idx="28" formatCode="0.00">
                  <c:v>48.556999900000008</c:v>
                </c:pt>
                <c:pt idx="29" formatCode="0.00">
                  <c:v>48.967000099999993</c:v>
                </c:pt>
                <c:pt idx="30" formatCode="0.00">
                  <c:v>49.22800019999999</c:v>
                </c:pt>
                <c:pt idx="31" formatCode="0.00">
                  <c:v>49.918000399999997</c:v>
                </c:pt>
                <c:pt idx="32" formatCode="0.00">
                  <c:v>51.035000199999999</c:v>
                </c:pt>
                <c:pt idx="33" formatCode="0.00">
                  <c:v>52.792000099999996</c:v>
                </c:pt>
                <c:pt idx="34" formatCode="0.00">
                  <c:v>54.527000000000001</c:v>
                </c:pt>
                <c:pt idx="35" formatCode="0.00">
                  <c:v>56.304000099999996</c:v>
                </c:pt>
                <c:pt idx="36" formatCode="0.00">
                  <c:v>58.099999999999987</c:v>
                </c:pt>
                <c:pt idx="37" formatCode="0.00">
                  <c:v>60.138000499999997</c:v>
                </c:pt>
                <c:pt idx="38" formatCode="0.00">
                  <c:v>61.454000500000006</c:v>
                </c:pt>
                <c:pt idx="39" formatCode="0.00">
                  <c:v>62.887000299999997</c:v>
                </c:pt>
                <c:pt idx="40" formatCode="0.00">
                  <c:v>63.913000099999998</c:v>
                </c:pt>
                <c:pt idx="41" formatCode="0.00">
                  <c:v>64.955000300000009</c:v>
                </c:pt>
                <c:pt idx="42" formatCode="0.00">
                  <c:v>66.225000399999999</c:v>
                </c:pt>
                <c:pt idx="43" formatCode="0.00">
                  <c:v>66.739000799999999</c:v>
                </c:pt>
                <c:pt idx="44" formatCode="0.00">
                  <c:v>66.890000999999998</c:v>
                </c:pt>
                <c:pt idx="45" formatCode="0.00">
                  <c:v>66.639001100000002</c:v>
                </c:pt>
                <c:pt idx="46" formatCode="0.00">
                  <c:v>66.189001100000013</c:v>
                </c:pt>
                <c:pt idx="47" formatCode="0.00">
                  <c:v>64.972000899999983</c:v>
                </c:pt>
                <c:pt idx="48" formatCode="0.00">
                  <c:v>64.439001099999999</c:v>
                </c:pt>
                <c:pt idx="49" formatCode="0.00">
                  <c:v>63.9490014</c:v>
                </c:pt>
                <c:pt idx="50" formatCode="0.00">
                  <c:v>63.762001499999997</c:v>
                </c:pt>
                <c:pt idx="51" formatCode="0.00">
                  <c:v>62.729001299999993</c:v>
                </c:pt>
                <c:pt idx="52" formatCode="0.00">
                  <c:v>61.597001299999988</c:v>
                </c:pt>
                <c:pt idx="53" formatCode="0.00">
                  <c:v>59.836000799999987</c:v>
                </c:pt>
                <c:pt idx="54" formatCode="0.00">
                  <c:v>59.036000799999997</c:v>
                </c:pt>
                <c:pt idx="55" formatCode="0.00">
                  <c:v>58.506000500000006</c:v>
                </c:pt>
                <c:pt idx="56" formatCode="0.00">
                  <c:v>57.35000070000001</c:v>
                </c:pt>
                <c:pt idx="57" formatCode="0.00">
                  <c:v>57.105000699999991</c:v>
                </c:pt>
                <c:pt idx="58" formatCode="0.00">
                  <c:v>56.300000400000002</c:v>
                </c:pt>
                <c:pt idx="59" formatCode="0.00">
                  <c:v>54.806000099999991</c:v>
                </c:pt>
                <c:pt idx="60" formatCode="0.00">
                  <c:v>53.152000100000009</c:v>
                </c:pt>
                <c:pt idx="61" formatCode="0.00">
                  <c:v>51.956000200000005</c:v>
                </c:pt>
                <c:pt idx="62" formatCode="0.00">
                  <c:v>50.297999999999995</c:v>
                </c:pt>
                <c:pt idx="63" formatCode="0.00">
                  <c:v>49.656999999999996</c:v>
                </c:pt>
                <c:pt idx="64" formatCode="0.00">
                  <c:v>48.406999999999996</c:v>
                </c:pt>
                <c:pt idx="65" formatCode="0.00">
                  <c:v>47.714000399999989</c:v>
                </c:pt>
                <c:pt idx="66" formatCode="0.00">
                  <c:v>46.995000199999993</c:v>
                </c:pt>
                <c:pt idx="67" formatCode="0.00">
                  <c:v>44.854999999999997</c:v>
                </c:pt>
                <c:pt idx="68" formatCode="0.00">
                  <c:v>41.053000099999998</c:v>
                </c:pt>
                <c:pt idx="69" formatCode="0.00">
                  <c:v>37.988000200000002</c:v>
                </c:pt>
                <c:pt idx="70" formatCode="0.00">
                  <c:v>34.839000200000001</c:v>
                </c:pt>
                <c:pt idx="71" formatCode="0.00">
                  <c:v>32.073</c:v>
                </c:pt>
                <c:pt idx="72" formatCode="0.00">
                  <c:v>29.090000100000005</c:v>
                </c:pt>
                <c:pt idx="73" formatCode="0.00">
                  <c:v>26.4490002</c:v>
                </c:pt>
                <c:pt idx="74" formatCode="0.00">
                  <c:v>23.459</c:v>
                </c:pt>
                <c:pt idx="75" formatCode="0.00">
                  <c:v>19.746999800000001</c:v>
                </c:pt>
                <c:pt idx="76" formatCode="0.00">
                  <c:v>17.391999899999998</c:v>
                </c:pt>
                <c:pt idx="77" formatCode="0.00">
                  <c:v>16.212</c:v>
                </c:pt>
                <c:pt idx="78" formatCode="0.00">
                  <c:v>16.762</c:v>
                </c:pt>
                <c:pt idx="79" formatCode="0.00">
                  <c:v>17.847000000000001</c:v>
                </c:pt>
                <c:pt idx="80" formatCode="0.00">
                  <c:v>18.927000100000001</c:v>
                </c:pt>
                <c:pt idx="81" formatCode="0.00">
                  <c:v>20.081</c:v>
                </c:pt>
                <c:pt idx="82" formatCode="0.00">
                  <c:v>21.6489999</c:v>
                </c:pt>
                <c:pt idx="83" formatCode="0.00">
                  <c:v>22.637000000000004</c:v>
                </c:pt>
                <c:pt idx="84" formatCode="0.00">
                  <c:v>23.284000000000002</c:v>
                </c:pt>
                <c:pt idx="85" formatCode="0.00">
                  <c:v>24.326999900000001</c:v>
                </c:pt>
                <c:pt idx="86" formatCode="0.00">
                  <c:v>24.829999899999997</c:v>
                </c:pt>
                <c:pt idx="87" formatCode="0.00">
                  <c:v>24.879999899999998</c:v>
                </c:pt>
                <c:pt idx="88" formatCode="0.00">
                  <c:v>24.774999999999999</c:v>
                </c:pt>
                <c:pt idx="89" formatCode="0.00">
                  <c:v>24.112000099999996</c:v>
                </c:pt>
                <c:pt idx="90" formatCode="0.00">
                  <c:v>23.438999899999999</c:v>
                </c:pt>
                <c:pt idx="91" formatCode="0.00">
                  <c:v>22.675999999999998</c:v>
                </c:pt>
                <c:pt idx="92" formatCode="0.00">
                  <c:v>21.741999999999997</c:v>
                </c:pt>
                <c:pt idx="93" formatCode="0.00">
                  <c:v>20.835999799999996</c:v>
                </c:pt>
                <c:pt idx="94" formatCode="0.00">
                  <c:v>20.058999799999999</c:v>
                </c:pt>
                <c:pt idx="95" formatCode="0.00">
                  <c:v>18.5099999</c:v>
                </c:pt>
                <c:pt idx="96" formatCode="0.00">
                  <c:v>16.914999900000002</c:v>
                </c:pt>
                <c:pt idx="97" formatCode="0.00">
                  <c:v>15.644999900000002</c:v>
                </c:pt>
                <c:pt idx="98" formatCode="0.00">
                  <c:v>14.5859998</c:v>
                </c:pt>
                <c:pt idx="99" formatCode="0.00">
                  <c:v>13.479999700000002</c:v>
                </c:pt>
                <c:pt idx="100" formatCode="0.00">
                  <c:v>12.491999800000002</c:v>
                </c:pt>
                <c:pt idx="101" formatCode="0.00">
                  <c:v>11.264999800000002</c:v>
                </c:pt>
                <c:pt idx="102" formatCode="0.00">
                  <c:v>10.3249999</c:v>
                </c:pt>
                <c:pt idx="103" formatCode="0.00">
                  <c:v>9.6570000000000018</c:v>
                </c:pt>
                <c:pt idx="104" formatCode="0.00">
                  <c:v>9.2840000000000025</c:v>
                </c:pt>
                <c:pt idx="105" formatCode="0.00">
                  <c:v>9.34</c:v>
                </c:pt>
                <c:pt idx="106" formatCode="0.00">
                  <c:v>9.5570000000000004</c:v>
                </c:pt>
                <c:pt idx="107" formatCode="0.00">
                  <c:v>10.494</c:v>
                </c:pt>
                <c:pt idx="108" formatCode="0.00">
                  <c:v>11.675000000000001</c:v>
                </c:pt>
                <c:pt idx="109" formatCode="0.00">
                  <c:v>12.350999999999999</c:v>
                </c:pt>
                <c:pt idx="110" formatCode="0.00">
                  <c:v>12.73</c:v>
                </c:pt>
                <c:pt idx="111" formatCode="0.00">
                  <c:v>13.070000000000002</c:v>
                </c:pt>
                <c:pt idx="112" formatCode="0.00">
                  <c:v>13.494</c:v>
                </c:pt>
                <c:pt idx="113" formatCode="0.00">
                  <c:v>14.286000100000001</c:v>
                </c:pt>
                <c:pt idx="114" formatCode="0.00">
                  <c:v>14.929000100000001</c:v>
                </c:pt>
                <c:pt idx="115" formatCode="0.00">
                  <c:v>15.594000099999999</c:v>
                </c:pt>
                <c:pt idx="116" formatCode="0.00">
                  <c:v>16.105000100000005</c:v>
                </c:pt>
                <c:pt idx="117" formatCode="0.00">
                  <c:v>15.704000099999998</c:v>
                </c:pt>
                <c:pt idx="118" formatCode="0.00">
                  <c:v>15.328000100000002</c:v>
                </c:pt>
                <c:pt idx="119" formatCode="0.00">
                  <c:v>15.385</c:v>
                </c:pt>
                <c:pt idx="120" formatCode="0.00">
                  <c:v>15.781989899999999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8E-436A-8A6B-58E5D5A37C77}"/>
            </c:ext>
          </c:extLst>
        </c:ser>
        <c:ser>
          <c:idx val="3"/>
          <c:order val="3"/>
          <c:tx>
            <c:strRef>
              <c:f>'[1]Week 7 Answer Sheet'!$P$1</c:f>
              <c:strCache>
                <c:ptCount val="1"/>
                <c:pt idx="0">
                  <c:v>MA(12)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'[1]Week 7 Answer Sheet'!$C$2:$C$122</c:f>
              <c:numCache>
                <c:formatCode>m/d/yyyy</c:formatCode>
                <c:ptCount val="121"/>
                <c:pt idx="0">
                  <c:v>41821</c:v>
                </c:pt>
                <c:pt idx="1">
                  <c:v>41852</c:v>
                </c:pt>
                <c:pt idx="2">
                  <c:v>41883</c:v>
                </c:pt>
                <c:pt idx="3">
                  <c:v>41913</c:v>
                </c:pt>
                <c:pt idx="4">
                  <c:v>41944</c:v>
                </c:pt>
                <c:pt idx="5">
                  <c:v>41974</c:v>
                </c:pt>
                <c:pt idx="6">
                  <c:v>42005</c:v>
                </c:pt>
                <c:pt idx="7">
                  <c:v>42036</c:v>
                </c:pt>
                <c:pt idx="8">
                  <c:v>42064</c:v>
                </c:pt>
                <c:pt idx="9">
                  <c:v>42095</c:v>
                </c:pt>
                <c:pt idx="10">
                  <c:v>42125</c:v>
                </c:pt>
                <c:pt idx="11">
                  <c:v>42156</c:v>
                </c:pt>
                <c:pt idx="12">
                  <c:v>42186</c:v>
                </c:pt>
                <c:pt idx="13">
                  <c:v>42217</c:v>
                </c:pt>
                <c:pt idx="14">
                  <c:v>42248</c:v>
                </c:pt>
                <c:pt idx="15">
                  <c:v>42278</c:v>
                </c:pt>
                <c:pt idx="16">
                  <c:v>42309</c:v>
                </c:pt>
                <c:pt idx="17">
                  <c:v>42339</c:v>
                </c:pt>
                <c:pt idx="18">
                  <c:v>42370</c:v>
                </c:pt>
                <c:pt idx="19">
                  <c:v>42401</c:v>
                </c:pt>
                <c:pt idx="20">
                  <c:v>42430</c:v>
                </c:pt>
                <c:pt idx="21">
                  <c:v>42461</c:v>
                </c:pt>
                <c:pt idx="22">
                  <c:v>42491</c:v>
                </c:pt>
                <c:pt idx="23">
                  <c:v>42522</c:v>
                </c:pt>
                <c:pt idx="24">
                  <c:v>42552</c:v>
                </c:pt>
                <c:pt idx="25">
                  <c:v>42583</c:v>
                </c:pt>
                <c:pt idx="26">
                  <c:v>42614</c:v>
                </c:pt>
                <c:pt idx="27">
                  <c:v>42644</c:v>
                </c:pt>
                <c:pt idx="28">
                  <c:v>42675</c:v>
                </c:pt>
                <c:pt idx="29">
                  <c:v>42705</c:v>
                </c:pt>
                <c:pt idx="30">
                  <c:v>42736</c:v>
                </c:pt>
                <c:pt idx="31">
                  <c:v>42767</c:v>
                </c:pt>
                <c:pt idx="32">
                  <c:v>42795</c:v>
                </c:pt>
                <c:pt idx="33">
                  <c:v>42826</c:v>
                </c:pt>
                <c:pt idx="34">
                  <c:v>42856</c:v>
                </c:pt>
                <c:pt idx="35">
                  <c:v>42887</c:v>
                </c:pt>
                <c:pt idx="36">
                  <c:v>42917</c:v>
                </c:pt>
                <c:pt idx="37">
                  <c:v>42948</c:v>
                </c:pt>
                <c:pt idx="38">
                  <c:v>42979</c:v>
                </c:pt>
                <c:pt idx="39">
                  <c:v>43009</c:v>
                </c:pt>
                <c:pt idx="40">
                  <c:v>43040</c:v>
                </c:pt>
                <c:pt idx="41">
                  <c:v>43070</c:v>
                </c:pt>
                <c:pt idx="42">
                  <c:v>43101</c:v>
                </c:pt>
                <c:pt idx="43">
                  <c:v>43132</c:v>
                </c:pt>
                <c:pt idx="44">
                  <c:v>43160</c:v>
                </c:pt>
                <c:pt idx="45">
                  <c:v>43191</c:v>
                </c:pt>
                <c:pt idx="46">
                  <c:v>43221</c:v>
                </c:pt>
                <c:pt idx="47">
                  <c:v>43252</c:v>
                </c:pt>
                <c:pt idx="48">
                  <c:v>43282</c:v>
                </c:pt>
                <c:pt idx="49">
                  <c:v>43313</c:v>
                </c:pt>
                <c:pt idx="50">
                  <c:v>43344</c:v>
                </c:pt>
                <c:pt idx="51">
                  <c:v>43374</c:v>
                </c:pt>
                <c:pt idx="52">
                  <c:v>43405</c:v>
                </c:pt>
                <c:pt idx="53">
                  <c:v>43435</c:v>
                </c:pt>
                <c:pt idx="54">
                  <c:v>43466</c:v>
                </c:pt>
                <c:pt idx="55">
                  <c:v>43497</c:v>
                </c:pt>
                <c:pt idx="56">
                  <c:v>43525</c:v>
                </c:pt>
                <c:pt idx="57">
                  <c:v>43556</c:v>
                </c:pt>
                <c:pt idx="58">
                  <c:v>43586</c:v>
                </c:pt>
                <c:pt idx="59">
                  <c:v>43617</c:v>
                </c:pt>
                <c:pt idx="60">
                  <c:v>43647</c:v>
                </c:pt>
                <c:pt idx="61">
                  <c:v>43678</c:v>
                </c:pt>
                <c:pt idx="62">
                  <c:v>43709</c:v>
                </c:pt>
                <c:pt idx="63">
                  <c:v>43739</c:v>
                </c:pt>
                <c:pt idx="64">
                  <c:v>43770</c:v>
                </c:pt>
                <c:pt idx="65">
                  <c:v>43800</c:v>
                </c:pt>
                <c:pt idx="66">
                  <c:v>43831</c:v>
                </c:pt>
                <c:pt idx="67">
                  <c:v>43862</c:v>
                </c:pt>
                <c:pt idx="68">
                  <c:v>43891</c:v>
                </c:pt>
                <c:pt idx="69">
                  <c:v>43922</c:v>
                </c:pt>
                <c:pt idx="70">
                  <c:v>43952</c:v>
                </c:pt>
                <c:pt idx="71">
                  <c:v>43983</c:v>
                </c:pt>
                <c:pt idx="72">
                  <c:v>44013</c:v>
                </c:pt>
                <c:pt idx="73">
                  <c:v>44044</c:v>
                </c:pt>
                <c:pt idx="74">
                  <c:v>44075</c:v>
                </c:pt>
                <c:pt idx="75">
                  <c:v>44105</c:v>
                </c:pt>
                <c:pt idx="76">
                  <c:v>44136</c:v>
                </c:pt>
                <c:pt idx="77">
                  <c:v>44166</c:v>
                </c:pt>
                <c:pt idx="78">
                  <c:v>44197</c:v>
                </c:pt>
                <c:pt idx="79">
                  <c:v>44228</c:v>
                </c:pt>
                <c:pt idx="80">
                  <c:v>44256</c:v>
                </c:pt>
                <c:pt idx="81">
                  <c:v>44287</c:v>
                </c:pt>
                <c:pt idx="82">
                  <c:v>44317</c:v>
                </c:pt>
                <c:pt idx="83">
                  <c:v>44348</c:v>
                </c:pt>
                <c:pt idx="84">
                  <c:v>44378</c:v>
                </c:pt>
                <c:pt idx="85">
                  <c:v>44409</c:v>
                </c:pt>
                <c:pt idx="86">
                  <c:v>44440</c:v>
                </c:pt>
                <c:pt idx="87">
                  <c:v>44470</c:v>
                </c:pt>
                <c:pt idx="88">
                  <c:v>44501</c:v>
                </c:pt>
                <c:pt idx="89">
                  <c:v>44531</c:v>
                </c:pt>
                <c:pt idx="90">
                  <c:v>44562</c:v>
                </c:pt>
                <c:pt idx="91">
                  <c:v>44593</c:v>
                </c:pt>
                <c:pt idx="92">
                  <c:v>44621</c:v>
                </c:pt>
                <c:pt idx="93">
                  <c:v>44652</c:v>
                </c:pt>
                <c:pt idx="94">
                  <c:v>44682</c:v>
                </c:pt>
                <c:pt idx="95">
                  <c:v>44713</c:v>
                </c:pt>
                <c:pt idx="96">
                  <c:v>44743</c:v>
                </c:pt>
                <c:pt idx="97">
                  <c:v>44774</c:v>
                </c:pt>
                <c:pt idx="98">
                  <c:v>44805</c:v>
                </c:pt>
                <c:pt idx="99">
                  <c:v>44835</c:v>
                </c:pt>
                <c:pt idx="100">
                  <c:v>44866</c:v>
                </c:pt>
                <c:pt idx="101">
                  <c:v>44896</c:v>
                </c:pt>
                <c:pt idx="102">
                  <c:v>44927</c:v>
                </c:pt>
                <c:pt idx="103">
                  <c:v>44958</c:v>
                </c:pt>
                <c:pt idx="104">
                  <c:v>44986</c:v>
                </c:pt>
                <c:pt idx="105">
                  <c:v>45017</c:v>
                </c:pt>
                <c:pt idx="106">
                  <c:v>45047</c:v>
                </c:pt>
                <c:pt idx="107">
                  <c:v>45078</c:v>
                </c:pt>
                <c:pt idx="108">
                  <c:v>45108</c:v>
                </c:pt>
                <c:pt idx="109">
                  <c:v>45139</c:v>
                </c:pt>
                <c:pt idx="110">
                  <c:v>45170</c:v>
                </c:pt>
                <c:pt idx="111">
                  <c:v>45200</c:v>
                </c:pt>
                <c:pt idx="112">
                  <c:v>45231</c:v>
                </c:pt>
                <c:pt idx="113">
                  <c:v>45261</c:v>
                </c:pt>
                <c:pt idx="114">
                  <c:v>45292</c:v>
                </c:pt>
                <c:pt idx="115">
                  <c:v>45323</c:v>
                </c:pt>
                <c:pt idx="116">
                  <c:v>45352</c:v>
                </c:pt>
                <c:pt idx="117">
                  <c:v>45383</c:v>
                </c:pt>
                <c:pt idx="118">
                  <c:v>45413</c:v>
                </c:pt>
                <c:pt idx="119">
                  <c:v>45444</c:v>
                </c:pt>
                <c:pt idx="120">
                  <c:v>45468</c:v>
                </c:pt>
              </c:numCache>
            </c:numRef>
          </c:cat>
          <c:val>
            <c:numRef>
              <c:f>'[1]Week 7 Answer Sheet'!$P$2:$P$122</c:f>
              <c:numCache>
                <c:formatCode>General</c:formatCode>
                <c:ptCount val="121"/>
                <c:pt idx="9">
                  <c:v>43.282500583333338</c:v>
                </c:pt>
                <c:pt idx="10">
                  <c:v>44.705000583333337</c:v>
                </c:pt>
                <c:pt idx="11">
                  <c:v>45.650833833333337</c:v>
                </c:pt>
                <c:pt idx="12">
                  <c:v>46.445000750000013</c:v>
                </c:pt>
                <c:pt idx="13">
                  <c:v>47.605834083333342</c:v>
                </c:pt>
                <c:pt idx="14">
                  <c:v>48.136667333333328</c:v>
                </c:pt>
                <c:pt idx="15">
                  <c:v>48.899167166666672</c:v>
                </c:pt>
                <c:pt idx="16">
                  <c:v>49.246667333333335</c:v>
                </c:pt>
                <c:pt idx="17">
                  <c:v>49.577500416666673</c:v>
                </c:pt>
                <c:pt idx="18">
                  <c:v>49.988333749999988</c:v>
                </c:pt>
                <c:pt idx="19">
                  <c:v>50.411666916666661</c:v>
                </c:pt>
                <c:pt idx="20">
                  <c:v>50.529166916666668</c:v>
                </c:pt>
                <c:pt idx="21">
                  <c:v>50.09666708333333</c:v>
                </c:pt>
                <c:pt idx="22">
                  <c:v>49.549167083333337</c:v>
                </c:pt>
                <c:pt idx="23">
                  <c:v>49.430000333333332</c:v>
                </c:pt>
                <c:pt idx="24">
                  <c:v>49.356666916666676</c:v>
                </c:pt>
                <c:pt idx="25">
                  <c:v>48.941666583333337</c:v>
                </c:pt>
                <c:pt idx="26">
                  <c:v>49.014999999999993</c:v>
                </c:pt>
                <c:pt idx="27">
                  <c:v>48.813333416666673</c:v>
                </c:pt>
                <c:pt idx="28">
                  <c:v>49.417500083333344</c:v>
                </c:pt>
                <c:pt idx="29">
                  <c:v>50.083333583333335</c:v>
                </c:pt>
                <c:pt idx="30">
                  <c:v>50.595000249999991</c:v>
                </c:pt>
                <c:pt idx="31">
                  <c:v>51.655000333333327</c:v>
                </c:pt>
                <c:pt idx="32">
                  <c:v>53.015833500000006</c:v>
                </c:pt>
                <c:pt idx="33">
                  <c:v>54.796666749999986</c:v>
                </c:pt>
                <c:pt idx="34">
                  <c:v>56.468333249999993</c:v>
                </c:pt>
                <c:pt idx="35">
                  <c:v>58.275000249999998</c:v>
                </c:pt>
                <c:pt idx="36">
                  <c:v>59.587500249999984</c:v>
                </c:pt>
                <c:pt idx="37">
                  <c:v>61.028333666666661</c:v>
                </c:pt>
                <c:pt idx="38">
                  <c:v>62.21416691666667</c:v>
                </c:pt>
                <c:pt idx="39">
                  <c:v>63.406667083333332</c:v>
                </c:pt>
                <c:pt idx="40">
                  <c:v>64.759167083333338</c:v>
                </c:pt>
                <c:pt idx="41">
                  <c:v>65.672500666666664</c:v>
                </c:pt>
                <c:pt idx="42">
                  <c:v>66.22833416666667</c:v>
                </c:pt>
                <c:pt idx="43">
                  <c:v>66.335834250000005</c:v>
                </c:pt>
                <c:pt idx="44">
                  <c:v>66.186667499999984</c:v>
                </c:pt>
                <c:pt idx="45">
                  <c:v>65.498334249999985</c:v>
                </c:pt>
                <c:pt idx="46">
                  <c:v>64.870001166666668</c:v>
                </c:pt>
                <c:pt idx="47">
                  <c:v>64.204167749999996</c:v>
                </c:pt>
                <c:pt idx="48">
                  <c:v>64.137501083333333</c:v>
                </c:pt>
                <c:pt idx="49">
                  <c:v>63.275001249999995</c:v>
                </c:pt>
                <c:pt idx="50">
                  <c:v>62.829168083333322</c:v>
                </c:pt>
                <c:pt idx="51">
                  <c:v>61.40666774999999</c:v>
                </c:pt>
                <c:pt idx="52">
                  <c:v>60.237501166666654</c:v>
                </c:pt>
                <c:pt idx="53">
                  <c:v>59.475000666666659</c:v>
                </c:pt>
                <c:pt idx="54">
                  <c:v>58.236667250000004</c:v>
                </c:pt>
                <c:pt idx="55">
                  <c:v>57.553333916666674</c:v>
                </c:pt>
                <c:pt idx="56">
                  <c:v>56.629167250000002</c:v>
                </c:pt>
                <c:pt idx="57">
                  <c:v>55.73250041666666</c:v>
                </c:pt>
                <c:pt idx="58">
                  <c:v>54.731666916666661</c:v>
                </c:pt>
                <c:pt idx="59">
                  <c:v>53.280833583333333</c:v>
                </c:pt>
                <c:pt idx="60">
                  <c:v>51.609166833333347</c:v>
                </c:pt>
                <c:pt idx="61">
                  <c:v>50.513333333333343</c:v>
                </c:pt>
                <c:pt idx="62">
                  <c:v>49.24583341666667</c:v>
                </c:pt>
                <c:pt idx="63">
                  <c:v>49.373333666666667</c:v>
                </c:pt>
                <c:pt idx="64">
                  <c:v>48.202500083333327</c:v>
                </c:pt>
                <c:pt idx="65">
                  <c:v>46.177500166666668</c:v>
                </c:pt>
                <c:pt idx="66">
                  <c:v>43.048333416666658</c:v>
                </c:pt>
                <c:pt idx="67">
                  <c:v>39.801666666666662</c:v>
                </c:pt>
                <c:pt idx="68">
                  <c:v>36.84750008333333</c:v>
                </c:pt>
                <c:pt idx="69">
                  <c:v>34.336666833333332</c:v>
                </c:pt>
                <c:pt idx="70">
                  <c:v>31.557500166666667</c:v>
                </c:pt>
                <c:pt idx="71">
                  <c:v>29.257500000000004</c:v>
                </c:pt>
                <c:pt idx="72">
                  <c:v>26.880000083333339</c:v>
                </c:pt>
                <c:pt idx="73">
                  <c:v>24.4483335</c:v>
                </c:pt>
                <c:pt idx="74">
                  <c:v>22.356666666666669</c:v>
                </c:pt>
                <c:pt idx="75">
                  <c:v>19.925833166666667</c:v>
                </c:pt>
                <c:pt idx="76">
                  <c:v>17.854166583333335</c:v>
                </c:pt>
                <c:pt idx="77">
                  <c:v>17.295000000000002</c:v>
                </c:pt>
                <c:pt idx="78">
                  <c:v>18.409166750000001</c:v>
                </c:pt>
                <c:pt idx="79">
                  <c:v>19.41416666666667</c:v>
                </c:pt>
                <c:pt idx="80">
                  <c:v>20.565833250000001</c:v>
                </c:pt>
                <c:pt idx="81">
                  <c:v>21.394166666666667</c:v>
                </c:pt>
                <c:pt idx="82">
                  <c:v>22.041666666666668</c:v>
                </c:pt>
                <c:pt idx="83">
                  <c:v>22.67999991666667</c:v>
                </c:pt>
                <c:pt idx="84">
                  <c:v>23.499166583333334</c:v>
                </c:pt>
                <c:pt idx="85">
                  <c:v>24.203333250000004</c:v>
                </c:pt>
                <c:pt idx="86">
                  <c:v>24.006666666666664</c:v>
                </c:pt>
                <c:pt idx="87">
                  <c:v>23.878333416666663</c:v>
                </c:pt>
                <c:pt idx="88">
                  <c:v>23.973333333333333</c:v>
                </c:pt>
                <c:pt idx="89">
                  <c:v>23.438333333333329</c:v>
                </c:pt>
                <c:pt idx="90">
                  <c:v>22.911666499999995</c:v>
                </c:pt>
                <c:pt idx="91">
                  <c:v>22.023333166666664</c:v>
                </c:pt>
                <c:pt idx="92">
                  <c:v>20.716666583333332</c:v>
                </c:pt>
                <c:pt idx="93">
                  <c:v>19.240833166666665</c:v>
                </c:pt>
                <c:pt idx="94">
                  <c:v>18.1916665</c:v>
                </c:pt>
                <c:pt idx="95">
                  <c:v>16.968333250000001</c:v>
                </c:pt>
                <c:pt idx="96">
                  <c:v>15.469999916666668</c:v>
                </c:pt>
                <c:pt idx="97">
                  <c:v>14.378333250000003</c:v>
                </c:pt>
                <c:pt idx="98">
                  <c:v>13.737499833333333</c:v>
                </c:pt>
                <c:pt idx="99">
                  <c:v>12.732499750000002</c:v>
                </c:pt>
                <c:pt idx="100">
                  <c:v>11.983333166666668</c:v>
                </c:pt>
                <c:pt idx="101">
                  <c:v>11.1741665</c:v>
                </c:pt>
                <c:pt idx="102">
                  <c:v>10.334999916666668</c:v>
                </c:pt>
                <c:pt idx="103">
                  <c:v>9.6608333333333363</c:v>
                </c:pt>
                <c:pt idx="104">
                  <c:v>9.4400000000000013</c:v>
                </c:pt>
                <c:pt idx="105">
                  <c:v>10.288333333333334</c:v>
                </c:pt>
                <c:pt idx="106">
                  <c:v>11.103333333333333</c:v>
                </c:pt>
                <c:pt idx="107">
                  <c:v>11.633333333333333</c:v>
                </c:pt>
                <c:pt idx="108">
                  <c:v>12.190833333333332</c:v>
                </c:pt>
                <c:pt idx="109">
                  <c:v>12.390833333333333</c:v>
                </c:pt>
                <c:pt idx="110">
                  <c:v>12.818333333333335</c:v>
                </c:pt>
                <c:pt idx="111">
                  <c:v>13.691666750000001</c:v>
                </c:pt>
                <c:pt idx="112">
                  <c:v>14.17166675</c:v>
                </c:pt>
                <c:pt idx="113">
                  <c:v>14.608333416666667</c:v>
                </c:pt>
                <c:pt idx="114">
                  <c:v>15.124166750000002</c:v>
                </c:pt>
                <c:pt idx="115">
                  <c:v>15.59166675</c:v>
                </c:pt>
                <c:pt idx="116">
                  <c:v>15.912500083333336</c:v>
                </c:pt>
                <c:pt idx="117">
                  <c:v>15.709166666666667</c:v>
                </c:pt>
                <c:pt idx="118">
                  <c:v>15.613324916666668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8E-436A-8A6B-58E5D5A37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635743"/>
        <c:axId val="235639583"/>
      </c:lineChart>
      <c:dateAx>
        <c:axId val="23563574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639583"/>
        <c:crosses val="autoZero"/>
        <c:auto val="1"/>
        <c:lblOffset val="100"/>
        <c:baseTimeUnit val="days"/>
      </c:dateAx>
      <c:valAx>
        <c:axId val="23563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63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Forecasted vs Actual Close Price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'[1]Week 7 Answer Sheet'!$G$1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'[1]Week 7 Answer Sheet'!$C$2:$C$122</c:f>
              <c:numCache>
                <c:formatCode>m/d/yyyy</c:formatCode>
                <c:ptCount val="121"/>
                <c:pt idx="0">
                  <c:v>41821</c:v>
                </c:pt>
                <c:pt idx="1">
                  <c:v>41852</c:v>
                </c:pt>
                <c:pt idx="2">
                  <c:v>41883</c:v>
                </c:pt>
                <c:pt idx="3">
                  <c:v>41913</c:v>
                </c:pt>
                <c:pt idx="4">
                  <c:v>41944</c:v>
                </c:pt>
                <c:pt idx="5">
                  <c:v>41974</c:v>
                </c:pt>
                <c:pt idx="6">
                  <c:v>42005</c:v>
                </c:pt>
                <c:pt idx="7">
                  <c:v>42036</c:v>
                </c:pt>
                <c:pt idx="8">
                  <c:v>42064</c:v>
                </c:pt>
                <c:pt idx="9">
                  <c:v>42095</c:v>
                </c:pt>
                <c:pt idx="10">
                  <c:v>42125</c:v>
                </c:pt>
                <c:pt idx="11">
                  <c:v>42156</c:v>
                </c:pt>
                <c:pt idx="12">
                  <c:v>42186</c:v>
                </c:pt>
                <c:pt idx="13">
                  <c:v>42217</c:v>
                </c:pt>
                <c:pt idx="14">
                  <c:v>42248</c:v>
                </c:pt>
                <c:pt idx="15">
                  <c:v>42278</c:v>
                </c:pt>
                <c:pt idx="16">
                  <c:v>42309</c:v>
                </c:pt>
                <c:pt idx="17">
                  <c:v>42339</c:v>
                </c:pt>
                <c:pt idx="18">
                  <c:v>42370</c:v>
                </c:pt>
                <c:pt idx="19">
                  <c:v>42401</c:v>
                </c:pt>
                <c:pt idx="20">
                  <c:v>42430</c:v>
                </c:pt>
                <c:pt idx="21">
                  <c:v>42461</c:v>
                </c:pt>
                <c:pt idx="22">
                  <c:v>42491</c:v>
                </c:pt>
                <c:pt idx="23">
                  <c:v>42522</c:v>
                </c:pt>
                <c:pt idx="24">
                  <c:v>42552</c:v>
                </c:pt>
                <c:pt idx="25">
                  <c:v>42583</c:v>
                </c:pt>
                <c:pt idx="26">
                  <c:v>42614</c:v>
                </c:pt>
                <c:pt idx="27">
                  <c:v>42644</c:v>
                </c:pt>
                <c:pt idx="28">
                  <c:v>42675</c:v>
                </c:pt>
                <c:pt idx="29">
                  <c:v>42705</c:v>
                </c:pt>
                <c:pt idx="30">
                  <c:v>42736</c:v>
                </c:pt>
                <c:pt idx="31">
                  <c:v>42767</c:v>
                </c:pt>
                <c:pt idx="32">
                  <c:v>42795</c:v>
                </c:pt>
                <c:pt idx="33">
                  <c:v>42826</c:v>
                </c:pt>
                <c:pt idx="34">
                  <c:v>42856</c:v>
                </c:pt>
                <c:pt idx="35">
                  <c:v>42887</c:v>
                </c:pt>
                <c:pt idx="36">
                  <c:v>42917</c:v>
                </c:pt>
                <c:pt idx="37">
                  <c:v>42948</c:v>
                </c:pt>
                <c:pt idx="38">
                  <c:v>42979</c:v>
                </c:pt>
                <c:pt idx="39">
                  <c:v>43009</c:v>
                </c:pt>
                <c:pt idx="40">
                  <c:v>43040</c:v>
                </c:pt>
                <c:pt idx="41">
                  <c:v>43070</c:v>
                </c:pt>
                <c:pt idx="42">
                  <c:v>43101</c:v>
                </c:pt>
                <c:pt idx="43">
                  <c:v>43132</c:v>
                </c:pt>
                <c:pt idx="44">
                  <c:v>43160</c:v>
                </c:pt>
                <c:pt idx="45">
                  <c:v>43191</c:v>
                </c:pt>
                <c:pt idx="46">
                  <c:v>43221</c:v>
                </c:pt>
                <c:pt idx="47">
                  <c:v>43252</c:v>
                </c:pt>
                <c:pt idx="48">
                  <c:v>43282</c:v>
                </c:pt>
                <c:pt idx="49">
                  <c:v>43313</c:v>
                </c:pt>
                <c:pt idx="50">
                  <c:v>43344</c:v>
                </c:pt>
                <c:pt idx="51">
                  <c:v>43374</c:v>
                </c:pt>
                <c:pt idx="52">
                  <c:v>43405</c:v>
                </c:pt>
                <c:pt idx="53">
                  <c:v>43435</c:v>
                </c:pt>
                <c:pt idx="54">
                  <c:v>43466</c:v>
                </c:pt>
                <c:pt idx="55">
                  <c:v>43497</c:v>
                </c:pt>
                <c:pt idx="56">
                  <c:v>43525</c:v>
                </c:pt>
                <c:pt idx="57">
                  <c:v>43556</c:v>
                </c:pt>
                <c:pt idx="58">
                  <c:v>43586</c:v>
                </c:pt>
                <c:pt idx="59">
                  <c:v>43617</c:v>
                </c:pt>
                <c:pt idx="60">
                  <c:v>43647</c:v>
                </c:pt>
                <c:pt idx="61">
                  <c:v>43678</c:v>
                </c:pt>
                <c:pt idx="62">
                  <c:v>43709</c:v>
                </c:pt>
                <c:pt idx="63">
                  <c:v>43739</c:v>
                </c:pt>
                <c:pt idx="64">
                  <c:v>43770</c:v>
                </c:pt>
                <c:pt idx="65">
                  <c:v>43800</c:v>
                </c:pt>
                <c:pt idx="66">
                  <c:v>43831</c:v>
                </c:pt>
                <c:pt idx="67">
                  <c:v>43862</c:v>
                </c:pt>
                <c:pt idx="68">
                  <c:v>43891</c:v>
                </c:pt>
                <c:pt idx="69">
                  <c:v>43922</c:v>
                </c:pt>
                <c:pt idx="70">
                  <c:v>43952</c:v>
                </c:pt>
                <c:pt idx="71">
                  <c:v>43983</c:v>
                </c:pt>
                <c:pt idx="72">
                  <c:v>44013</c:v>
                </c:pt>
                <c:pt idx="73">
                  <c:v>44044</c:v>
                </c:pt>
                <c:pt idx="74">
                  <c:v>44075</c:v>
                </c:pt>
                <c:pt idx="75">
                  <c:v>44105</c:v>
                </c:pt>
                <c:pt idx="76">
                  <c:v>44136</c:v>
                </c:pt>
                <c:pt idx="77">
                  <c:v>44166</c:v>
                </c:pt>
                <c:pt idx="78">
                  <c:v>44197</c:v>
                </c:pt>
                <c:pt idx="79">
                  <c:v>44228</c:v>
                </c:pt>
                <c:pt idx="80">
                  <c:v>44256</c:v>
                </c:pt>
                <c:pt idx="81">
                  <c:v>44287</c:v>
                </c:pt>
                <c:pt idx="82">
                  <c:v>44317</c:v>
                </c:pt>
                <c:pt idx="83">
                  <c:v>44348</c:v>
                </c:pt>
                <c:pt idx="84">
                  <c:v>44378</c:v>
                </c:pt>
                <c:pt idx="85">
                  <c:v>44409</c:v>
                </c:pt>
                <c:pt idx="86">
                  <c:v>44440</c:v>
                </c:pt>
                <c:pt idx="87">
                  <c:v>44470</c:v>
                </c:pt>
                <c:pt idx="88">
                  <c:v>44501</c:v>
                </c:pt>
                <c:pt idx="89">
                  <c:v>44531</c:v>
                </c:pt>
                <c:pt idx="90">
                  <c:v>44562</c:v>
                </c:pt>
                <c:pt idx="91">
                  <c:v>44593</c:v>
                </c:pt>
                <c:pt idx="92">
                  <c:v>44621</c:v>
                </c:pt>
                <c:pt idx="93">
                  <c:v>44652</c:v>
                </c:pt>
                <c:pt idx="94">
                  <c:v>44682</c:v>
                </c:pt>
                <c:pt idx="95">
                  <c:v>44713</c:v>
                </c:pt>
                <c:pt idx="96">
                  <c:v>44743</c:v>
                </c:pt>
                <c:pt idx="97">
                  <c:v>44774</c:v>
                </c:pt>
                <c:pt idx="98">
                  <c:v>44805</c:v>
                </c:pt>
                <c:pt idx="99">
                  <c:v>44835</c:v>
                </c:pt>
                <c:pt idx="100">
                  <c:v>44866</c:v>
                </c:pt>
                <c:pt idx="101">
                  <c:v>44896</c:v>
                </c:pt>
                <c:pt idx="102">
                  <c:v>44927</c:v>
                </c:pt>
                <c:pt idx="103">
                  <c:v>44958</c:v>
                </c:pt>
                <c:pt idx="104">
                  <c:v>44986</c:v>
                </c:pt>
                <c:pt idx="105">
                  <c:v>45017</c:v>
                </c:pt>
                <c:pt idx="106">
                  <c:v>45047</c:v>
                </c:pt>
                <c:pt idx="107">
                  <c:v>45078</c:v>
                </c:pt>
                <c:pt idx="108">
                  <c:v>45108</c:v>
                </c:pt>
                <c:pt idx="109">
                  <c:v>45139</c:v>
                </c:pt>
                <c:pt idx="110">
                  <c:v>45170</c:v>
                </c:pt>
                <c:pt idx="111">
                  <c:v>45200</c:v>
                </c:pt>
                <c:pt idx="112">
                  <c:v>45231</c:v>
                </c:pt>
                <c:pt idx="113">
                  <c:v>45261</c:v>
                </c:pt>
                <c:pt idx="114">
                  <c:v>45292</c:v>
                </c:pt>
                <c:pt idx="115">
                  <c:v>45323</c:v>
                </c:pt>
                <c:pt idx="116">
                  <c:v>45352</c:v>
                </c:pt>
                <c:pt idx="117">
                  <c:v>45383</c:v>
                </c:pt>
                <c:pt idx="118">
                  <c:v>45413</c:v>
                </c:pt>
                <c:pt idx="119">
                  <c:v>45444</c:v>
                </c:pt>
                <c:pt idx="120">
                  <c:v>45468</c:v>
                </c:pt>
              </c:numCache>
            </c:numRef>
          </c:cat>
          <c:val>
            <c:numRef>
              <c:f>'[1]Week 7 Answer Sheet'!$G$2:$G$122</c:f>
              <c:numCache>
                <c:formatCode>0.00</c:formatCode>
                <c:ptCount val="121"/>
                <c:pt idx="0">
                  <c:v>36.220001000000003</c:v>
                </c:pt>
                <c:pt idx="1">
                  <c:v>37.880001</c:v>
                </c:pt>
                <c:pt idx="2">
                  <c:v>40.169998</c:v>
                </c:pt>
                <c:pt idx="3">
                  <c:v>40.150002000000001</c:v>
                </c:pt>
                <c:pt idx="4">
                  <c:v>44.16</c:v>
                </c:pt>
                <c:pt idx="5">
                  <c:v>45.330002</c:v>
                </c:pt>
                <c:pt idx="6">
                  <c:v>43.959999000000003</c:v>
                </c:pt>
                <c:pt idx="7">
                  <c:v>43.990001999999997</c:v>
                </c:pt>
                <c:pt idx="8">
                  <c:v>47.84</c:v>
                </c:pt>
                <c:pt idx="9">
                  <c:v>43.970001000000003</c:v>
                </c:pt>
                <c:pt idx="10">
                  <c:v>46.330002</c:v>
                </c:pt>
                <c:pt idx="11">
                  <c:v>49.389999000000003</c:v>
                </c:pt>
                <c:pt idx="12">
                  <c:v>53.290000999999997</c:v>
                </c:pt>
                <c:pt idx="13">
                  <c:v>49.23</c:v>
                </c:pt>
                <c:pt idx="14">
                  <c:v>49.700001</c:v>
                </c:pt>
                <c:pt idx="15">
                  <c:v>54.080002</c:v>
                </c:pt>
                <c:pt idx="16">
                  <c:v>50.529998999999997</c:v>
                </c:pt>
                <c:pt idx="17">
                  <c:v>54.48</c:v>
                </c:pt>
                <c:pt idx="18">
                  <c:v>48.130001</c:v>
                </c:pt>
                <c:pt idx="19">
                  <c:v>47.959999000000003</c:v>
                </c:pt>
                <c:pt idx="20">
                  <c:v>52.77</c:v>
                </c:pt>
                <c:pt idx="21">
                  <c:v>49.049999</c:v>
                </c:pt>
                <c:pt idx="22">
                  <c:v>47.740001999999997</c:v>
                </c:pt>
                <c:pt idx="23">
                  <c:v>44.200001</c:v>
                </c:pt>
                <c:pt idx="24">
                  <c:v>46.720001000000003</c:v>
                </c:pt>
                <c:pt idx="25">
                  <c:v>47.799999</c:v>
                </c:pt>
                <c:pt idx="26">
                  <c:v>48.82</c:v>
                </c:pt>
                <c:pt idx="27">
                  <c:v>49.099997999999999</c:v>
                </c:pt>
                <c:pt idx="28">
                  <c:v>51.41</c:v>
                </c:pt>
                <c:pt idx="29">
                  <c:v>52.060001</c:v>
                </c:pt>
                <c:pt idx="30">
                  <c:v>55.380001</c:v>
                </c:pt>
                <c:pt idx="31">
                  <c:v>55.950001</c:v>
                </c:pt>
                <c:pt idx="32">
                  <c:v>58.91</c:v>
                </c:pt>
                <c:pt idx="33">
                  <c:v>61.77</c:v>
                </c:pt>
                <c:pt idx="34">
                  <c:v>64.069999999999993</c:v>
                </c:pt>
                <c:pt idx="35">
                  <c:v>65.569999999999993</c:v>
                </c:pt>
                <c:pt idx="36">
                  <c:v>66.779999000000004</c:v>
                </c:pt>
                <c:pt idx="37">
                  <c:v>69.480002999999996</c:v>
                </c:pt>
                <c:pt idx="38">
                  <c:v>64.569999999999993</c:v>
                </c:pt>
                <c:pt idx="39">
                  <c:v>66.389999000000003</c:v>
                </c:pt>
                <c:pt idx="40">
                  <c:v>65.639999000000003</c:v>
                </c:pt>
                <c:pt idx="41">
                  <c:v>66.370002999999997</c:v>
                </c:pt>
                <c:pt idx="42">
                  <c:v>71.610000999999997</c:v>
                </c:pt>
                <c:pt idx="43">
                  <c:v>66.910004000000001</c:v>
                </c:pt>
                <c:pt idx="44">
                  <c:v>65.580001999999993</c:v>
                </c:pt>
                <c:pt idx="45">
                  <c:v>63.060001</c:v>
                </c:pt>
                <c:pt idx="46">
                  <c:v>62.279998999999997</c:v>
                </c:pt>
                <c:pt idx="47">
                  <c:v>57.310001</c:v>
                </c:pt>
                <c:pt idx="48">
                  <c:v>59.240001999999997</c:v>
                </c:pt>
                <c:pt idx="49">
                  <c:v>61.490001999999997</c:v>
                </c:pt>
                <c:pt idx="50">
                  <c:v>63.77</c:v>
                </c:pt>
                <c:pt idx="51">
                  <c:v>56.040000999999997</c:v>
                </c:pt>
                <c:pt idx="52">
                  <c:v>60.290000999999997</c:v>
                </c:pt>
                <c:pt idx="53">
                  <c:v>49.299999</c:v>
                </c:pt>
                <c:pt idx="54">
                  <c:v>57.580002</c:v>
                </c:pt>
                <c:pt idx="55">
                  <c:v>57.759998000000003</c:v>
                </c:pt>
                <c:pt idx="56">
                  <c:v>50.720001000000003</c:v>
                </c:pt>
                <c:pt idx="57">
                  <c:v>54.860000999999997</c:v>
                </c:pt>
                <c:pt idx="58">
                  <c:v>51.189999</c:v>
                </c:pt>
                <c:pt idx="59">
                  <c:v>46.549999</c:v>
                </c:pt>
                <c:pt idx="60">
                  <c:v>47.23</c:v>
                </c:pt>
                <c:pt idx="61">
                  <c:v>44.080002</c:v>
                </c:pt>
                <c:pt idx="62">
                  <c:v>43.709999000000003</c:v>
                </c:pt>
                <c:pt idx="63">
                  <c:v>42.889999000000003</c:v>
                </c:pt>
                <c:pt idx="64">
                  <c:v>45.080002</c:v>
                </c:pt>
                <c:pt idx="65">
                  <c:v>50.830002</c:v>
                </c:pt>
                <c:pt idx="66">
                  <c:v>43.529998999999997</c:v>
                </c:pt>
                <c:pt idx="67">
                  <c:v>33.459999000000003</c:v>
                </c:pt>
                <c:pt idx="68">
                  <c:v>13.17</c:v>
                </c:pt>
                <c:pt idx="69">
                  <c:v>15.9</c:v>
                </c:pt>
                <c:pt idx="70">
                  <c:v>15.74</c:v>
                </c:pt>
                <c:pt idx="71">
                  <c:v>16.420000000000002</c:v>
                </c:pt>
                <c:pt idx="72">
                  <c:v>13.88</c:v>
                </c:pt>
                <c:pt idx="73">
                  <c:v>16.48</c:v>
                </c:pt>
                <c:pt idx="74">
                  <c:v>15.18</c:v>
                </c:pt>
                <c:pt idx="75">
                  <c:v>13.71</c:v>
                </c:pt>
                <c:pt idx="76">
                  <c:v>19.98</c:v>
                </c:pt>
                <c:pt idx="77">
                  <c:v>21.66</c:v>
                </c:pt>
                <c:pt idx="78">
                  <c:v>18.670000000000002</c:v>
                </c:pt>
                <c:pt idx="79">
                  <c:v>26.75</c:v>
                </c:pt>
                <c:pt idx="80">
                  <c:v>26.540001</c:v>
                </c:pt>
                <c:pt idx="81">
                  <c:v>27.959999</c:v>
                </c:pt>
                <c:pt idx="82">
                  <c:v>29.559999000000001</c:v>
                </c:pt>
                <c:pt idx="83">
                  <c:v>26.360001</c:v>
                </c:pt>
                <c:pt idx="84">
                  <c:v>21.65</c:v>
                </c:pt>
                <c:pt idx="85">
                  <c:v>24.139999</c:v>
                </c:pt>
                <c:pt idx="86">
                  <c:v>25.01</c:v>
                </c:pt>
                <c:pt idx="87">
                  <c:v>22.16</c:v>
                </c:pt>
                <c:pt idx="88">
                  <c:v>17.620000999999998</c:v>
                </c:pt>
                <c:pt idx="89">
                  <c:v>20.120000999999998</c:v>
                </c:pt>
                <c:pt idx="90">
                  <c:v>19.809999000000001</c:v>
                </c:pt>
                <c:pt idx="91">
                  <c:v>20.329999999999998</c:v>
                </c:pt>
                <c:pt idx="92">
                  <c:v>20.219999000000001</c:v>
                </c:pt>
                <c:pt idx="93">
                  <c:v>17.299999</c:v>
                </c:pt>
                <c:pt idx="94">
                  <c:v>13.88</c:v>
                </c:pt>
                <c:pt idx="95">
                  <c:v>8.65</c:v>
                </c:pt>
                <c:pt idx="96">
                  <c:v>9.06</c:v>
                </c:pt>
                <c:pt idx="97">
                  <c:v>9.4600000000000009</c:v>
                </c:pt>
                <c:pt idx="98">
                  <c:v>7.03</c:v>
                </c:pt>
                <c:pt idx="99">
                  <c:v>9.06</c:v>
                </c:pt>
                <c:pt idx="100">
                  <c:v>9.93</c:v>
                </c:pt>
                <c:pt idx="101">
                  <c:v>8.06</c:v>
                </c:pt>
                <c:pt idx="102">
                  <c:v>10.82</c:v>
                </c:pt>
                <c:pt idx="103">
                  <c:v>10.62</c:v>
                </c:pt>
                <c:pt idx="104">
                  <c:v>10.15</c:v>
                </c:pt>
                <c:pt idx="105">
                  <c:v>9.2100000000000009</c:v>
                </c:pt>
                <c:pt idx="106">
                  <c:v>11.23</c:v>
                </c:pt>
                <c:pt idx="107">
                  <c:v>18.829999999999998</c:v>
                </c:pt>
                <c:pt idx="108">
                  <c:v>18.84</c:v>
                </c:pt>
                <c:pt idx="109">
                  <c:v>15.82</c:v>
                </c:pt>
                <c:pt idx="110">
                  <c:v>13.72</c:v>
                </c:pt>
                <c:pt idx="111">
                  <c:v>11.46</c:v>
                </c:pt>
                <c:pt idx="112">
                  <c:v>15.06</c:v>
                </c:pt>
                <c:pt idx="113">
                  <c:v>18.540001</c:v>
                </c:pt>
                <c:pt idx="114">
                  <c:v>16.579999999999998</c:v>
                </c:pt>
                <c:pt idx="115">
                  <c:v>15.86</c:v>
                </c:pt>
                <c:pt idx="116">
                  <c:v>16.34</c:v>
                </c:pt>
                <c:pt idx="117">
                  <c:v>14.82</c:v>
                </c:pt>
                <c:pt idx="118">
                  <c:v>15.08</c:v>
                </c:pt>
                <c:pt idx="119">
                  <c:v>16.389999</c:v>
                </c:pt>
                <c:pt idx="120">
                  <c:v>17.689899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82-45B5-9432-2ABB993E17C5}"/>
            </c:ext>
          </c:extLst>
        </c:ser>
        <c:ser>
          <c:idx val="1"/>
          <c:order val="1"/>
          <c:tx>
            <c:strRef>
              <c:f>'[1]Week 7 Answer Sheet'!$Q$1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'[1]Week 7 Answer Sheet'!$C$2:$C$122</c:f>
              <c:numCache>
                <c:formatCode>m/d/yyyy</c:formatCode>
                <c:ptCount val="121"/>
                <c:pt idx="0">
                  <c:v>41821</c:v>
                </c:pt>
                <c:pt idx="1">
                  <c:v>41852</c:v>
                </c:pt>
                <c:pt idx="2">
                  <c:v>41883</c:v>
                </c:pt>
                <c:pt idx="3">
                  <c:v>41913</c:v>
                </c:pt>
                <c:pt idx="4">
                  <c:v>41944</c:v>
                </c:pt>
                <c:pt idx="5">
                  <c:v>41974</c:v>
                </c:pt>
                <c:pt idx="6">
                  <c:v>42005</c:v>
                </c:pt>
                <c:pt idx="7">
                  <c:v>42036</c:v>
                </c:pt>
                <c:pt idx="8">
                  <c:v>42064</c:v>
                </c:pt>
                <c:pt idx="9">
                  <c:v>42095</c:v>
                </c:pt>
                <c:pt idx="10">
                  <c:v>42125</c:v>
                </c:pt>
                <c:pt idx="11">
                  <c:v>42156</c:v>
                </c:pt>
                <c:pt idx="12">
                  <c:v>42186</c:v>
                </c:pt>
                <c:pt idx="13">
                  <c:v>42217</c:v>
                </c:pt>
                <c:pt idx="14">
                  <c:v>42248</c:v>
                </c:pt>
                <c:pt idx="15">
                  <c:v>42278</c:v>
                </c:pt>
                <c:pt idx="16">
                  <c:v>42309</c:v>
                </c:pt>
                <c:pt idx="17">
                  <c:v>42339</c:v>
                </c:pt>
                <c:pt idx="18">
                  <c:v>42370</c:v>
                </c:pt>
                <c:pt idx="19">
                  <c:v>42401</c:v>
                </c:pt>
                <c:pt idx="20">
                  <c:v>42430</c:v>
                </c:pt>
                <c:pt idx="21">
                  <c:v>42461</c:v>
                </c:pt>
                <c:pt idx="22">
                  <c:v>42491</c:v>
                </c:pt>
                <c:pt idx="23">
                  <c:v>42522</c:v>
                </c:pt>
                <c:pt idx="24">
                  <c:v>42552</c:v>
                </c:pt>
                <c:pt idx="25">
                  <c:v>42583</c:v>
                </c:pt>
                <c:pt idx="26">
                  <c:v>42614</c:v>
                </c:pt>
                <c:pt idx="27">
                  <c:v>42644</c:v>
                </c:pt>
                <c:pt idx="28">
                  <c:v>42675</c:v>
                </c:pt>
                <c:pt idx="29">
                  <c:v>42705</c:v>
                </c:pt>
                <c:pt idx="30">
                  <c:v>42736</c:v>
                </c:pt>
                <c:pt idx="31">
                  <c:v>42767</c:v>
                </c:pt>
                <c:pt idx="32">
                  <c:v>42795</c:v>
                </c:pt>
                <c:pt idx="33">
                  <c:v>42826</c:v>
                </c:pt>
                <c:pt idx="34">
                  <c:v>42856</c:v>
                </c:pt>
                <c:pt idx="35">
                  <c:v>42887</c:v>
                </c:pt>
                <c:pt idx="36">
                  <c:v>42917</c:v>
                </c:pt>
                <c:pt idx="37">
                  <c:v>42948</c:v>
                </c:pt>
                <c:pt idx="38">
                  <c:v>42979</c:v>
                </c:pt>
                <c:pt idx="39">
                  <c:v>43009</c:v>
                </c:pt>
                <c:pt idx="40">
                  <c:v>43040</c:v>
                </c:pt>
                <c:pt idx="41">
                  <c:v>43070</c:v>
                </c:pt>
                <c:pt idx="42">
                  <c:v>43101</c:v>
                </c:pt>
                <c:pt idx="43">
                  <c:v>43132</c:v>
                </c:pt>
                <c:pt idx="44">
                  <c:v>43160</c:v>
                </c:pt>
                <c:pt idx="45">
                  <c:v>43191</c:v>
                </c:pt>
                <c:pt idx="46">
                  <c:v>43221</c:v>
                </c:pt>
                <c:pt idx="47">
                  <c:v>43252</c:v>
                </c:pt>
                <c:pt idx="48">
                  <c:v>43282</c:v>
                </c:pt>
                <c:pt idx="49">
                  <c:v>43313</c:v>
                </c:pt>
                <c:pt idx="50">
                  <c:v>43344</c:v>
                </c:pt>
                <c:pt idx="51">
                  <c:v>43374</c:v>
                </c:pt>
                <c:pt idx="52">
                  <c:v>43405</c:v>
                </c:pt>
                <c:pt idx="53">
                  <c:v>43435</c:v>
                </c:pt>
                <c:pt idx="54">
                  <c:v>43466</c:v>
                </c:pt>
                <c:pt idx="55">
                  <c:v>43497</c:v>
                </c:pt>
                <c:pt idx="56">
                  <c:v>43525</c:v>
                </c:pt>
                <c:pt idx="57">
                  <c:v>43556</c:v>
                </c:pt>
                <c:pt idx="58">
                  <c:v>43586</c:v>
                </c:pt>
                <c:pt idx="59">
                  <c:v>43617</c:v>
                </c:pt>
                <c:pt idx="60">
                  <c:v>43647</c:v>
                </c:pt>
                <c:pt idx="61">
                  <c:v>43678</c:v>
                </c:pt>
                <c:pt idx="62">
                  <c:v>43709</c:v>
                </c:pt>
                <c:pt idx="63">
                  <c:v>43739</c:v>
                </c:pt>
                <c:pt idx="64">
                  <c:v>43770</c:v>
                </c:pt>
                <c:pt idx="65">
                  <c:v>43800</c:v>
                </c:pt>
                <c:pt idx="66">
                  <c:v>43831</c:v>
                </c:pt>
                <c:pt idx="67">
                  <c:v>43862</c:v>
                </c:pt>
                <c:pt idx="68">
                  <c:v>43891</c:v>
                </c:pt>
                <c:pt idx="69">
                  <c:v>43922</c:v>
                </c:pt>
                <c:pt idx="70">
                  <c:v>43952</c:v>
                </c:pt>
                <c:pt idx="71">
                  <c:v>43983</c:v>
                </c:pt>
                <c:pt idx="72">
                  <c:v>44013</c:v>
                </c:pt>
                <c:pt idx="73">
                  <c:v>44044</c:v>
                </c:pt>
                <c:pt idx="74">
                  <c:v>44075</c:v>
                </c:pt>
                <c:pt idx="75">
                  <c:v>44105</c:v>
                </c:pt>
                <c:pt idx="76">
                  <c:v>44136</c:v>
                </c:pt>
                <c:pt idx="77">
                  <c:v>44166</c:v>
                </c:pt>
                <c:pt idx="78">
                  <c:v>44197</c:v>
                </c:pt>
                <c:pt idx="79">
                  <c:v>44228</c:v>
                </c:pt>
                <c:pt idx="80">
                  <c:v>44256</c:v>
                </c:pt>
                <c:pt idx="81">
                  <c:v>44287</c:v>
                </c:pt>
                <c:pt idx="82">
                  <c:v>44317</c:v>
                </c:pt>
                <c:pt idx="83">
                  <c:v>44348</c:v>
                </c:pt>
                <c:pt idx="84">
                  <c:v>44378</c:v>
                </c:pt>
                <c:pt idx="85">
                  <c:v>44409</c:v>
                </c:pt>
                <c:pt idx="86">
                  <c:v>44440</c:v>
                </c:pt>
                <c:pt idx="87">
                  <c:v>44470</c:v>
                </c:pt>
                <c:pt idx="88">
                  <c:v>44501</c:v>
                </c:pt>
                <c:pt idx="89">
                  <c:v>44531</c:v>
                </c:pt>
                <c:pt idx="90">
                  <c:v>44562</c:v>
                </c:pt>
                <c:pt idx="91">
                  <c:v>44593</c:v>
                </c:pt>
                <c:pt idx="92">
                  <c:v>44621</c:v>
                </c:pt>
                <c:pt idx="93">
                  <c:v>44652</c:v>
                </c:pt>
                <c:pt idx="94">
                  <c:v>44682</c:v>
                </c:pt>
                <c:pt idx="95">
                  <c:v>44713</c:v>
                </c:pt>
                <c:pt idx="96">
                  <c:v>44743</c:v>
                </c:pt>
                <c:pt idx="97">
                  <c:v>44774</c:v>
                </c:pt>
                <c:pt idx="98">
                  <c:v>44805</c:v>
                </c:pt>
                <c:pt idx="99">
                  <c:v>44835</c:v>
                </c:pt>
                <c:pt idx="100">
                  <c:v>44866</c:v>
                </c:pt>
                <c:pt idx="101">
                  <c:v>44896</c:v>
                </c:pt>
                <c:pt idx="102">
                  <c:v>44927</c:v>
                </c:pt>
                <c:pt idx="103">
                  <c:v>44958</c:v>
                </c:pt>
                <c:pt idx="104">
                  <c:v>44986</c:v>
                </c:pt>
                <c:pt idx="105">
                  <c:v>45017</c:v>
                </c:pt>
                <c:pt idx="106">
                  <c:v>45047</c:v>
                </c:pt>
                <c:pt idx="107">
                  <c:v>45078</c:v>
                </c:pt>
                <c:pt idx="108">
                  <c:v>45108</c:v>
                </c:pt>
                <c:pt idx="109">
                  <c:v>45139</c:v>
                </c:pt>
                <c:pt idx="110">
                  <c:v>45170</c:v>
                </c:pt>
                <c:pt idx="111">
                  <c:v>45200</c:v>
                </c:pt>
                <c:pt idx="112">
                  <c:v>45231</c:v>
                </c:pt>
                <c:pt idx="113">
                  <c:v>45261</c:v>
                </c:pt>
                <c:pt idx="114">
                  <c:v>45292</c:v>
                </c:pt>
                <c:pt idx="115">
                  <c:v>45323</c:v>
                </c:pt>
                <c:pt idx="116">
                  <c:v>45352</c:v>
                </c:pt>
                <c:pt idx="117">
                  <c:v>45383</c:v>
                </c:pt>
                <c:pt idx="118">
                  <c:v>45413</c:v>
                </c:pt>
                <c:pt idx="119">
                  <c:v>45444</c:v>
                </c:pt>
                <c:pt idx="120">
                  <c:v>45468</c:v>
                </c:pt>
              </c:numCache>
            </c:numRef>
          </c:cat>
          <c:val>
            <c:numRef>
              <c:f>'[1]Week 7 Answer Sheet'!$Q$2:$Q$122</c:f>
              <c:numCache>
                <c:formatCode>General</c:formatCode>
                <c:ptCount val="121"/>
                <c:pt idx="0">
                  <c:v>38.085487028588084</c:v>
                </c:pt>
                <c:pt idx="1">
                  <c:v>36.493679647668564</c:v>
                </c:pt>
                <c:pt idx="2">
                  <c:v>38.056011061125858</c:v>
                </c:pt>
                <c:pt idx="3">
                  <c:v>40.28650796556056</c:v>
                </c:pt>
                <c:pt idx="4">
                  <c:v>40.433899594044703</c:v>
                </c:pt>
                <c:pt idx="5">
                  <c:v>43.971249547776466</c:v>
                </c:pt>
                <c:pt idx="6">
                  <c:v>46.093660699132819</c:v>
                </c:pt>
                <c:pt idx="7">
                  <c:v>44.040031390644494</c:v>
                </c:pt>
                <c:pt idx="8">
                  <c:v>44.246375936650828</c:v>
                </c:pt>
                <c:pt idx="9">
                  <c:v>47.96059741671997</c:v>
                </c:pt>
                <c:pt idx="10">
                  <c:v>44.098988238557702</c:v>
                </c:pt>
                <c:pt idx="11">
                  <c:v>46.663569362377721</c:v>
                </c:pt>
                <c:pt idx="12">
                  <c:v>50.024051720163122</c:v>
                </c:pt>
                <c:pt idx="13">
                  <c:v>53.207670412393178</c:v>
                </c:pt>
                <c:pt idx="14">
                  <c:v>48.255376743297241</c:v>
                </c:pt>
                <c:pt idx="15">
                  <c:v>50.122309530493375</c:v>
                </c:pt>
                <c:pt idx="16">
                  <c:v>54.32783087078905</c:v>
                </c:pt>
                <c:pt idx="17">
                  <c:v>51.222821964175118</c:v>
                </c:pt>
                <c:pt idx="18">
                  <c:v>54.200092180007815</c:v>
                </c:pt>
                <c:pt idx="19">
                  <c:v>48.245547817951405</c:v>
                </c:pt>
                <c:pt idx="20">
                  <c:v>48.727022683223126</c:v>
                </c:pt>
                <c:pt idx="21">
                  <c:v>52.274201562300725</c:v>
                </c:pt>
                <c:pt idx="22">
                  <c:v>49.454146987309244</c:v>
                </c:pt>
                <c:pt idx="23">
                  <c:v>47.439818641237942</c:v>
                </c:pt>
                <c:pt idx="24">
                  <c:v>44.924370352974066</c:v>
                </c:pt>
                <c:pt idx="25">
                  <c:v>46.75200316035091</c:v>
                </c:pt>
                <c:pt idx="26">
                  <c:v>48.196418912786278</c:v>
                </c:pt>
                <c:pt idx="27">
                  <c:v>48.87441431170727</c:v>
                </c:pt>
                <c:pt idx="28">
                  <c:v>49.218321560851912</c:v>
                </c:pt>
                <c:pt idx="29">
                  <c:v>50.947691644909732</c:v>
                </c:pt>
                <c:pt idx="30">
                  <c:v>52.30367851236069</c:v>
                </c:pt>
                <c:pt idx="31">
                  <c:v>55.290775688343729</c:v>
                </c:pt>
                <c:pt idx="32">
                  <c:v>56.509194939667609</c:v>
                </c:pt>
                <c:pt idx="33">
                  <c:v>58.955865315454474</c:v>
                </c:pt>
                <c:pt idx="34">
                  <c:v>61.687486092472774</c:v>
                </c:pt>
                <c:pt idx="35">
                  <c:v>64.173457430676677</c:v>
                </c:pt>
                <c:pt idx="36">
                  <c:v>65.490142353112859</c:v>
                </c:pt>
                <c:pt idx="37">
                  <c:v>67.966284765970926</c:v>
                </c:pt>
                <c:pt idx="38">
                  <c:v>69.587573027341421</c:v>
                </c:pt>
                <c:pt idx="39">
                  <c:v>63.927807991862288</c:v>
                </c:pt>
                <c:pt idx="40">
                  <c:v>66.403958265502396</c:v>
                </c:pt>
                <c:pt idx="41">
                  <c:v>65.165883128682339</c:v>
                </c:pt>
                <c:pt idx="42">
                  <c:v>67.03281984626949</c:v>
                </c:pt>
                <c:pt idx="43">
                  <c:v>71.660854290934921</c:v>
                </c:pt>
                <c:pt idx="44">
                  <c:v>66.433435215562369</c:v>
                </c:pt>
                <c:pt idx="45">
                  <c:v>65.519618320575077</c:v>
                </c:pt>
                <c:pt idx="46">
                  <c:v>63.122081762942102</c:v>
                </c:pt>
                <c:pt idx="47">
                  <c:v>62.571825054802353</c:v>
                </c:pt>
                <c:pt idx="48">
                  <c:v>56.82363015174105</c:v>
                </c:pt>
                <c:pt idx="49">
                  <c:v>59.113080956295683</c:v>
                </c:pt>
                <c:pt idx="50">
                  <c:v>61.127405371975968</c:v>
                </c:pt>
                <c:pt idx="51">
                  <c:v>63.593727702867987</c:v>
                </c:pt>
                <c:pt idx="52">
                  <c:v>56.391284191634455</c:v>
                </c:pt>
                <c:pt idx="53">
                  <c:v>60.528019758671086</c:v>
                </c:pt>
                <c:pt idx="54">
                  <c:v>49.070930914965523</c:v>
                </c:pt>
                <c:pt idx="55">
                  <c:v>57.531097587733235</c:v>
                </c:pt>
                <c:pt idx="56">
                  <c:v>58.30735079698448</c:v>
                </c:pt>
                <c:pt idx="57">
                  <c:v>51.095083273393882</c:v>
                </c:pt>
                <c:pt idx="58">
                  <c:v>55.61503098238321</c:v>
                </c:pt>
                <c:pt idx="59">
                  <c:v>51.085259261036811</c:v>
                </c:pt>
                <c:pt idx="60">
                  <c:v>46.928866825906255</c:v>
                </c:pt>
                <c:pt idx="61">
                  <c:v>47.253126050336768</c:v>
                </c:pt>
                <c:pt idx="62">
                  <c:v>44.040031390644494</c:v>
                </c:pt>
                <c:pt idx="63">
                  <c:v>44.020378452941586</c:v>
                </c:pt>
                <c:pt idx="64">
                  <c:v>43.460298715042519</c:v>
                </c:pt>
                <c:pt idx="65">
                  <c:v>45.356712382689636</c:v>
                </c:pt>
                <c:pt idx="66">
                  <c:v>51.438990522538518</c:v>
                </c:pt>
                <c:pt idx="67">
                  <c:v>43.971249547776466</c:v>
                </c:pt>
                <c:pt idx="68">
                  <c:v>33.123369347135089</c:v>
                </c:pt>
                <c:pt idx="69">
                  <c:v>13.363329471503015</c:v>
                </c:pt>
                <c:pt idx="70">
                  <c:v>15.623304308595436</c:v>
                </c:pt>
                <c:pt idx="71">
                  <c:v>16.684509884273616</c:v>
                </c:pt>
                <c:pt idx="72">
                  <c:v>17.627804711918643</c:v>
                </c:pt>
                <c:pt idx="73">
                  <c:v>14.228015496129681</c:v>
                </c:pt>
                <c:pt idx="74">
                  <c:v>16.792595637351951</c:v>
                </c:pt>
                <c:pt idx="75">
                  <c:v>16.144081118881953</c:v>
                </c:pt>
                <c:pt idx="76">
                  <c:v>14.237841473682256</c:v>
                </c:pt>
                <c:pt idx="77">
                  <c:v>21.607324638114065</c:v>
                </c:pt>
                <c:pt idx="78">
                  <c:v>22.304970026944702</c:v>
                </c:pt>
                <c:pt idx="79">
                  <c:v>19.612650212343436</c:v>
                </c:pt>
                <c:pt idx="80">
                  <c:v>28.053164930006002</c:v>
                </c:pt>
                <c:pt idx="81">
                  <c:v>27.502911169659512</c:v>
                </c:pt>
                <c:pt idx="82">
                  <c:v>28.514986857574819</c:v>
                </c:pt>
                <c:pt idx="83">
                  <c:v>30.64722496908151</c:v>
                </c:pt>
                <c:pt idx="84">
                  <c:v>27.109872067556484</c:v>
                </c:pt>
                <c:pt idx="85">
                  <c:v>22.432706752530429</c:v>
                </c:pt>
                <c:pt idx="86">
                  <c:v>24.781114404998281</c:v>
                </c:pt>
                <c:pt idx="87">
                  <c:v>26.598921234822548</c:v>
                </c:pt>
                <c:pt idx="88">
                  <c:v>22.894526714903733</c:v>
                </c:pt>
                <c:pt idx="89">
                  <c:v>18.78727006312258</c:v>
                </c:pt>
                <c:pt idx="90">
                  <c:v>21.184806620755555</c:v>
                </c:pt>
                <c:pt idx="91">
                  <c:v>20.585423955243947</c:v>
                </c:pt>
                <c:pt idx="92">
                  <c:v>20.605073945153588</c:v>
                </c:pt>
                <c:pt idx="93">
                  <c:v>20.978462074749221</c:v>
                </c:pt>
                <c:pt idx="94">
                  <c:v>17.991363916168439</c:v>
                </c:pt>
                <c:pt idx="95">
                  <c:v>14.778270239073921</c:v>
                </c:pt>
                <c:pt idx="96">
                  <c:v>9.4427644280252903</c:v>
                </c:pt>
                <c:pt idx="97">
                  <c:v>9.727717777049989</c:v>
                </c:pt>
                <c:pt idx="98">
                  <c:v>10.110930901600442</c:v>
                </c:pt>
                <c:pt idx="99">
                  <c:v>8.0278236604543842</c:v>
                </c:pt>
                <c:pt idx="100">
                  <c:v>10.2091906771262</c:v>
                </c:pt>
                <c:pt idx="101">
                  <c:v>10.769271397623019</c:v>
                </c:pt>
                <c:pt idx="102">
                  <c:v>9.0792032585799891</c:v>
                </c:pt>
                <c:pt idx="103">
                  <c:v>11.614305467144533</c:v>
                </c:pt>
                <c:pt idx="104">
                  <c:v>11.417785916093015</c:v>
                </c:pt>
                <c:pt idx="105">
                  <c:v>10.788923352728169</c:v>
                </c:pt>
                <c:pt idx="106">
                  <c:v>10.09127894649529</c:v>
                </c:pt>
                <c:pt idx="107">
                  <c:v>12.105604344773319</c:v>
                </c:pt>
                <c:pt idx="108">
                  <c:v>19.209785132687831</c:v>
                </c:pt>
                <c:pt idx="109">
                  <c:v>18.82657299073513</c:v>
                </c:pt>
                <c:pt idx="110">
                  <c:v>16.537120220984981</c:v>
                </c:pt>
                <c:pt idx="111">
                  <c:v>14.247667451234832</c:v>
                </c:pt>
                <c:pt idx="112">
                  <c:v>12.233342052956804</c:v>
                </c:pt>
                <c:pt idx="113">
                  <c:v>15.839475814752102</c:v>
                </c:pt>
                <c:pt idx="114">
                  <c:v>18.973961671426014</c:v>
                </c:pt>
                <c:pt idx="115">
                  <c:v>17.775193392609527</c:v>
                </c:pt>
                <c:pt idx="116">
                  <c:v>16.605902063853012</c:v>
                </c:pt>
                <c:pt idx="117">
                  <c:v>17.175808761902406</c:v>
                </c:pt>
                <c:pt idx="118">
                  <c:v>15.358002914675891</c:v>
                </c:pt>
                <c:pt idx="119">
                  <c:v>15.927909612725285</c:v>
                </c:pt>
                <c:pt idx="120">
                  <c:v>17.706411549741496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82-45B5-9432-2ABB993E1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4664207"/>
        <c:axId val="1264664687"/>
      </c:lineChart>
      <c:dateAx>
        <c:axId val="126466420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664687"/>
        <c:crosses val="autoZero"/>
        <c:auto val="1"/>
        <c:lblOffset val="100"/>
        <c:baseTimeUnit val="days"/>
      </c:dateAx>
      <c:valAx>
        <c:axId val="126466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66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1558771688972"/>
          <c:y val="0.13570161961462135"/>
          <c:w val="0.86198896397792812"/>
          <c:h val="0.79319057678765759"/>
        </c:manualLayout>
      </c:layout>
      <c:lineChart>
        <c:grouping val="percentStacked"/>
        <c:varyColors val="0"/>
        <c:ser>
          <c:idx val="0"/>
          <c:order val="0"/>
          <c:tx>
            <c:strRef>
              <c:f>'[1]Week 7 Answer Sheet'!$R$1</c:f>
              <c:strCache>
                <c:ptCount val="1"/>
                <c:pt idx="0">
                  <c:v>Simple Linear Regression Forecast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'[1]Week 7 Answer Sheet'!$C$2:$C$122</c:f>
              <c:numCache>
                <c:formatCode>m/d/yyyy</c:formatCode>
                <c:ptCount val="121"/>
                <c:pt idx="0">
                  <c:v>41821</c:v>
                </c:pt>
                <c:pt idx="1">
                  <c:v>41852</c:v>
                </c:pt>
                <c:pt idx="2">
                  <c:v>41883</c:v>
                </c:pt>
                <c:pt idx="3">
                  <c:v>41913</c:v>
                </c:pt>
                <c:pt idx="4">
                  <c:v>41944</c:v>
                </c:pt>
                <c:pt idx="5">
                  <c:v>41974</c:v>
                </c:pt>
                <c:pt idx="6">
                  <c:v>42005</c:v>
                </c:pt>
                <c:pt idx="7">
                  <c:v>42036</c:v>
                </c:pt>
                <c:pt idx="8">
                  <c:v>42064</c:v>
                </c:pt>
                <c:pt idx="9">
                  <c:v>42095</c:v>
                </c:pt>
                <c:pt idx="10">
                  <c:v>42125</c:v>
                </c:pt>
                <c:pt idx="11">
                  <c:v>42156</c:v>
                </c:pt>
                <c:pt idx="12">
                  <c:v>42186</c:v>
                </c:pt>
                <c:pt idx="13">
                  <c:v>42217</c:v>
                </c:pt>
                <c:pt idx="14">
                  <c:v>42248</c:v>
                </c:pt>
                <c:pt idx="15">
                  <c:v>42278</c:v>
                </c:pt>
                <c:pt idx="16">
                  <c:v>42309</c:v>
                </c:pt>
                <c:pt idx="17">
                  <c:v>42339</c:v>
                </c:pt>
                <c:pt idx="18">
                  <c:v>42370</c:v>
                </c:pt>
                <c:pt idx="19">
                  <c:v>42401</c:v>
                </c:pt>
                <c:pt idx="20">
                  <c:v>42430</c:v>
                </c:pt>
                <c:pt idx="21">
                  <c:v>42461</c:v>
                </c:pt>
                <c:pt idx="22">
                  <c:v>42491</c:v>
                </c:pt>
                <c:pt idx="23">
                  <c:v>42522</c:v>
                </c:pt>
                <c:pt idx="24">
                  <c:v>42552</c:v>
                </c:pt>
                <c:pt idx="25">
                  <c:v>42583</c:v>
                </c:pt>
                <c:pt idx="26">
                  <c:v>42614</c:v>
                </c:pt>
                <c:pt idx="27">
                  <c:v>42644</c:v>
                </c:pt>
                <c:pt idx="28">
                  <c:v>42675</c:v>
                </c:pt>
                <c:pt idx="29">
                  <c:v>42705</c:v>
                </c:pt>
                <c:pt idx="30">
                  <c:v>42736</c:v>
                </c:pt>
                <c:pt idx="31">
                  <c:v>42767</c:v>
                </c:pt>
                <c:pt idx="32">
                  <c:v>42795</c:v>
                </c:pt>
                <c:pt idx="33">
                  <c:v>42826</c:v>
                </c:pt>
                <c:pt idx="34">
                  <c:v>42856</c:v>
                </c:pt>
                <c:pt idx="35">
                  <c:v>42887</c:v>
                </c:pt>
                <c:pt idx="36">
                  <c:v>42917</c:v>
                </c:pt>
                <c:pt idx="37">
                  <c:v>42948</c:v>
                </c:pt>
                <c:pt idx="38">
                  <c:v>42979</c:v>
                </c:pt>
                <c:pt idx="39">
                  <c:v>43009</c:v>
                </c:pt>
                <c:pt idx="40">
                  <c:v>43040</c:v>
                </c:pt>
                <c:pt idx="41">
                  <c:v>43070</c:v>
                </c:pt>
                <c:pt idx="42">
                  <c:v>43101</c:v>
                </c:pt>
                <c:pt idx="43">
                  <c:v>43132</c:v>
                </c:pt>
                <c:pt idx="44">
                  <c:v>43160</c:v>
                </c:pt>
                <c:pt idx="45">
                  <c:v>43191</c:v>
                </c:pt>
                <c:pt idx="46">
                  <c:v>43221</c:v>
                </c:pt>
                <c:pt idx="47">
                  <c:v>43252</c:v>
                </c:pt>
                <c:pt idx="48">
                  <c:v>43282</c:v>
                </c:pt>
                <c:pt idx="49">
                  <c:v>43313</c:v>
                </c:pt>
                <c:pt idx="50">
                  <c:v>43344</c:v>
                </c:pt>
                <c:pt idx="51">
                  <c:v>43374</c:v>
                </c:pt>
                <c:pt idx="52">
                  <c:v>43405</c:v>
                </c:pt>
                <c:pt idx="53">
                  <c:v>43435</c:v>
                </c:pt>
                <c:pt idx="54">
                  <c:v>43466</c:v>
                </c:pt>
                <c:pt idx="55">
                  <c:v>43497</c:v>
                </c:pt>
                <c:pt idx="56">
                  <c:v>43525</c:v>
                </c:pt>
                <c:pt idx="57">
                  <c:v>43556</c:v>
                </c:pt>
                <c:pt idx="58">
                  <c:v>43586</c:v>
                </c:pt>
                <c:pt idx="59">
                  <c:v>43617</c:v>
                </c:pt>
                <c:pt idx="60">
                  <c:v>43647</c:v>
                </c:pt>
                <c:pt idx="61">
                  <c:v>43678</c:v>
                </c:pt>
                <c:pt idx="62">
                  <c:v>43709</c:v>
                </c:pt>
                <c:pt idx="63">
                  <c:v>43739</c:v>
                </c:pt>
                <c:pt idx="64">
                  <c:v>43770</c:v>
                </c:pt>
                <c:pt idx="65">
                  <c:v>43800</c:v>
                </c:pt>
                <c:pt idx="66">
                  <c:v>43831</c:v>
                </c:pt>
                <c:pt idx="67">
                  <c:v>43862</c:v>
                </c:pt>
                <c:pt idx="68">
                  <c:v>43891</c:v>
                </c:pt>
                <c:pt idx="69">
                  <c:v>43922</c:v>
                </c:pt>
                <c:pt idx="70">
                  <c:v>43952</c:v>
                </c:pt>
                <c:pt idx="71">
                  <c:v>43983</c:v>
                </c:pt>
                <c:pt idx="72">
                  <c:v>44013</c:v>
                </c:pt>
                <c:pt idx="73">
                  <c:v>44044</c:v>
                </c:pt>
                <c:pt idx="74">
                  <c:v>44075</c:v>
                </c:pt>
                <c:pt idx="75">
                  <c:v>44105</c:v>
                </c:pt>
                <c:pt idx="76">
                  <c:v>44136</c:v>
                </c:pt>
                <c:pt idx="77">
                  <c:v>44166</c:v>
                </c:pt>
                <c:pt idx="78">
                  <c:v>44197</c:v>
                </c:pt>
                <c:pt idx="79">
                  <c:v>44228</c:v>
                </c:pt>
                <c:pt idx="80">
                  <c:v>44256</c:v>
                </c:pt>
                <c:pt idx="81">
                  <c:v>44287</c:v>
                </c:pt>
                <c:pt idx="82">
                  <c:v>44317</c:v>
                </c:pt>
                <c:pt idx="83">
                  <c:v>44348</c:v>
                </c:pt>
                <c:pt idx="84">
                  <c:v>44378</c:v>
                </c:pt>
                <c:pt idx="85">
                  <c:v>44409</c:v>
                </c:pt>
                <c:pt idx="86">
                  <c:v>44440</c:v>
                </c:pt>
                <c:pt idx="87">
                  <c:v>44470</c:v>
                </c:pt>
                <c:pt idx="88">
                  <c:v>44501</c:v>
                </c:pt>
                <c:pt idx="89">
                  <c:v>44531</c:v>
                </c:pt>
                <c:pt idx="90">
                  <c:v>44562</c:v>
                </c:pt>
                <c:pt idx="91">
                  <c:v>44593</c:v>
                </c:pt>
                <c:pt idx="92">
                  <c:v>44621</c:v>
                </c:pt>
                <c:pt idx="93">
                  <c:v>44652</c:v>
                </c:pt>
                <c:pt idx="94">
                  <c:v>44682</c:v>
                </c:pt>
                <c:pt idx="95">
                  <c:v>44713</c:v>
                </c:pt>
                <c:pt idx="96">
                  <c:v>44743</c:v>
                </c:pt>
                <c:pt idx="97">
                  <c:v>44774</c:v>
                </c:pt>
                <c:pt idx="98">
                  <c:v>44805</c:v>
                </c:pt>
                <c:pt idx="99">
                  <c:v>44835</c:v>
                </c:pt>
                <c:pt idx="100">
                  <c:v>44866</c:v>
                </c:pt>
                <c:pt idx="101">
                  <c:v>44896</c:v>
                </c:pt>
                <c:pt idx="102">
                  <c:v>44927</c:v>
                </c:pt>
                <c:pt idx="103">
                  <c:v>44958</c:v>
                </c:pt>
                <c:pt idx="104">
                  <c:v>44986</c:v>
                </c:pt>
                <c:pt idx="105">
                  <c:v>45017</c:v>
                </c:pt>
                <c:pt idx="106">
                  <c:v>45047</c:v>
                </c:pt>
                <c:pt idx="107">
                  <c:v>45078</c:v>
                </c:pt>
                <c:pt idx="108">
                  <c:v>45108</c:v>
                </c:pt>
                <c:pt idx="109">
                  <c:v>45139</c:v>
                </c:pt>
                <c:pt idx="110">
                  <c:v>45170</c:v>
                </c:pt>
                <c:pt idx="111">
                  <c:v>45200</c:v>
                </c:pt>
                <c:pt idx="112">
                  <c:v>45231</c:v>
                </c:pt>
                <c:pt idx="113">
                  <c:v>45261</c:v>
                </c:pt>
                <c:pt idx="114">
                  <c:v>45292</c:v>
                </c:pt>
                <c:pt idx="115">
                  <c:v>45323</c:v>
                </c:pt>
                <c:pt idx="116">
                  <c:v>45352</c:v>
                </c:pt>
                <c:pt idx="117">
                  <c:v>45383</c:v>
                </c:pt>
                <c:pt idx="118">
                  <c:v>45413</c:v>
                </c:pt>
                <c:pt idx="119">
                  <c:v>45444</c:v>
                </c:pt>
                <c:pt idx="120">
                  <c:v>45468</c:v>
                </c:pt>
              </c:numCache>
            </c:numRef>
          </c:cat>
          <c:val>
            <c:numRef>
              <c:f>'[1]Week 7 Answer Sheet'!$R$2:$R$122</c:f>
              <c:numCache>
                <c:formatCode>General</c:formatCode>
                <c:ptCount val="121"/>
                <c:pt idx="0">
                  <c:v>-17849.27289346376</c:v>
                </c:pt>
                <c:pt idx="1">
                  <c:v>-17862.550447772748</c:v>
                </c:pt>
                <c:pt idx="2">
                  <c:v>-17875.82800208174</c:v>
                </c:pt>
                <c:pt idx="3">
                  <c:v>-17888.677248187214</c:v>
                </c:pt>
                <c:pt idx="4">
                  <c:v>-17901.954802496202</c:v>
                </c:pt>
                <c:pt idx="5">
                  <c:v>-17914.804048601676</c:v>
                </c:pt>
                <c:pt idx="6">
                  <c:v>-17928.081602910665</c:v>
                </c:pt>
                <c:pt idx="7">
                  <c:v>-17941.359157219653</c:v>
                </c:pt>
                <c:pt idx="8">
                  <c:v>-17953.351786918094</c:v>
                </c:pt>
                <c:pt idx="9">
                  <c:v>-17966.629341227086</c:v>
                </c:pt>
                <c:pt idx="10">
                  <c:v>-17979.47858733256</c:v>
                </c:pt>
                <c:pt idx="11">
                  <c:v>-17992.756141641548</c:v>
                </c:pt>
                <c:pt idx="12">
                  <c:v>-18005.605387747022</c:v>
                </c:pt>
                <c:pt idx="13">
                  <c:v>-18018.882942056011</c:v>
                </c:pt>
                <c:pt idx="14">
                  <c:v>-18032.160496364999</c:v>
                </c:pt>
                <c:pt idx="15">
                  <c:v>-18045.009742470473</c:v>
                </c:pt>
                <c:pt idx="16">
                  <c:v>-18058.287296779465</c:v>
                </c:pt>
                <c:pt idx="17">
                  <c:v>-18071.136542884935</c:v>
                </c:pt>
                <c:pt idx="18">
                  <c:v>-18084.414097193927</c:v>
                </c:pt>
                <c:pt idx="19">
                  <c:v>-18097.691651502915</c:v>
                </c:pt>
                <c:pt idx="20">
                  <c:v>-18110.112589404871</c:v>
                </c:pt>
                <c:pt idx="21">
                  <c:v>-18123.390143713863</c:v>
                </c:pt>
                <c:pt idx="22">
                  <c:v>-18136.239389819337</c:v>
                </c:pt>
                <c:pt idx="23">
                  <c:v>-18149.516944128325</c:v>
                </c:pt>
                <c:pt idx="24">
                  <c:v>-18162.366190233799</c:v>
                </c:pt>
                <c:pt idx="25">
                  <c:v>-18175.643744542787</c:v>
                </c:pt>
                <c:pt idx="26">
                  <c:v>-18188.921298851776</c:v>
                </c:pt>
                <c:pt idx="27">
                  <c:v>-18201.77054495725</c:v>
                </c:pt>
                <c:pt idx="28">
                  <c:v>-18215.048099266241</c:v>
                </c:pt>
                <c:pt idx="29">
                  <c:v>-18227.897345371712</c:v>
                </c:pt>
                <c:pt idx="30">
                  <c:v>-18241.174899680704</c:v>
                </c:pt>
                <c:pt idx="31">
                  <c:v>-18254.452453989692</c:v>
                </c:pt>
                <c:pt idx="32">
                  <c:v>-18266.445083688133</c:v>
                </c:pt>
                <c:pt idx="33">
                  <c:v>-18279.722637997122</c:v>
                </c:pt>
                <c:pt idx="34">
                  <c:v>-18292.571884102596</c:v>
                </c:pt>
                <c:pt idx="35">
                  <c:v>-18305.849438411587</c:v>
                </c:pt>
                <c:pt idx="36">
                  <c:v>-18318.698684517058</c:v>
                </c:pt>
                <c:pt idx="37">
                  <c:v>-18331.97623882605</c:v>
                </c:pt>
                <c:pt idx="38">
                  <c:v>-18345.253793135038</c:v>
                </c:pt>
                <c:pt idx="39">
                  <c:v>-18358.103039240512</c:v>
                </c:pt>
                <c:pt idx="40">
                  <c:v>-18371.3805935495</c:v>
                </c:pt>
                <c:pt idx="41">
                  <c:v>-18384.229839654974</c:v>
                </c:pt>
                <c:pt idx="42">
                  <c:v>-18397.507393963962</c:v>
                </c:pt>
                <c:pt idx="43">
                  <c:v>-18410.784948272954</c:v>
                </c:pt>
                <c:pt idx="44">
                  <c:v>-18422.777577971396</c:v>
                </c:pt>
                <c:pt idx="45">
                  <c:v>-18436.055132280384</c:v>
                </c:pt>
                <c:pt idx="46">
                  <c:v>-18448.904378385858</c:v>
                </c:pt>
                <c:pt idx="47">
                  <c:v>-18462.181932694846</c:v>
                </c:pt>
                <c:pt idx="48">
                  <c:v>-18475.03117880032</c:v>
                </c:pt>
                <c:pt idx="49">
                  <c:v>-18488.308733109308</c:v>
                </c:pt>
                <c:pt idx="50">
                  <c:v>-18501.5862874183</c:v>
                </c:pt>
                <c:pt idx="51">
                  <c:v>-18514.435533523774</c:v>
                </c:pt>
                <c:pt idx="52">
                  <c:v>-18527.713087832763</c:v>
                </c:pt>
                <c:pt idx="53">
                  <c:v>-18540.562333938236</c:v>
                </c:pt>
                <c:pt idx="54">
                  <c:v>-18553.839888247225</c:v>
                </c:pt>
                <c:pt idx="55">
                  <c:v>-18567.117442556213</c:v>
                </c:pt>
                <c:pt idx="56">
                  <c:v>-18579.110072254654</c:v>
                </c:pt>
                <c:pt idx="57">
                  <c:v>-18592.387626563646</c:v>
                </c:pt>
                <c:pt idx="58">
                  <c:v>-18605.23687266912</c:v>
                </c:pt>
                <c:pt idx="59">
                  <c:v>-18618.514426978109</c:v>
                </c:pt>
                <c:pt idx="60">
                  <c:v>-18631.363673083582</c:v>
                </c:pt>
                <c:pt idx="61">
                  <c:v>-18644.641227392571</c:v>
                </c:pt>
                <c:pt idx="62">
                  <c:v>-18657.918781701559</c:v>
                </c:pt>
                <c:pt idx="63">
                  <c:v>-18670.768027807033</c:v>
                </c:pt>
                <c:pt idx="64">
                  <c:v>-18684.045582116021</c:v>
                </c:pt>
                <c:pt idx="65">
                  <c:v>-18696.894828221495</c:v>
                </c:pt>
                <c:pt idx="66">
                  <c:v>-18710.172382530487</c:v>
                </c:pt>
                <c:pt idx="67">
                  <c:v>-18723.449936839475</c:v>
                </c:pt>
                <c:pt idx="68">
                  <c:v>-18735.870874741431</c:v>
                </c:pt>
                <c:pt idx="69">
                  <c:v>-18749.148429050423</c:v>
                </c:pt>
                <c:pt idx="70">
                  <c:v>-18761.997675155897</c:v>
                </c:pt>
                <c:pt idx="71">
                  <c:v>-18775.275229464885</c:v>
                </c:pt>
                <c:pt idx="72">
                  <c:v>-18788.124475570359</c:v>
                </c:pt>
                <c:pt idx="73">
                  <c:v>-18801.402029879348</c:v>
                </c:pt>
                <c:pt idx="74">
                  <c:v>-18814.679584188336</c:v>
                </c:pt>
                <c:pt idx="75">
                  <c:v>-18827.52883029381</c:v>
                </c:pt>
                <c:pt idx="76">
                  <c:v>-18840.806384602802</c:v>
                </c:pt>
                <c:pt idx="77">
                  <c:v>-18853.655630708272</c:v>
                </c:pt>
                <c:pt idx="78">
                  <c:v>-18866.933185017264</c:v>
                </c:pt>
                <c:pt idx="79">
                  <c:v>-18880.210739326252</c:v>
                </c:pt>
                <c:pt idx="80">
                  <c:v>-18892.203369024694</c:v>
                </c:pt>
                <c:pt idx="81">
                  <c:v>-18905.480923333682</c:v>
                </c:pt>
                <c:pt idx="82">
                  <c:v>-18918.330169439156</c:v>
                </c:pt>
                <c:pt idx="83">
                  <c:v>-18931.607723748148</c:v>
                </c:pt>
                <c:pt idx="84">
                  <c:v>-18944.456969853618</c:v>
                </c:pt>
                <c:pt idx="85">
                  <c:v>-18957.73452416261</c:v>
                </c:pt>
                <c:pt idx="86">
                  <c:v>-18971.012078471598</c:v>
                </c:pt>
                <c:pt idx="87">
                  <c:v>-18983.861324577072</c:v>
                </c:pt>
                <c:pt idx="88">
                  <c:v>-18997.13887888606</c:v>
                </c:pt>
                <c:pt idx="89">
                  <c:v>-19009.988124991534</c:v>
                </c:pt>
                <c:pt idx="90">
                  <c:v>-19023.265679300523</c:v>
                </c:pt>
                <c:pt idx="91">
                  <c:v>-19036.543233609515</c:v>
                </c:pt>
                <c:pt idx="92">
                  <c:v>-19048.535863307956</c:v>
                </c:pt>
                <c:pt idx="93">
                  <c:v>-19061.813417616944</c:v>
                </c:pt>
                <c:pt idx="94">
                  <c:v>-19074.662663722418</c:v>
                </c:pt>
                <c:pt idx="95">
                  <c:v>-19087.940218031406</c:v>
                </c:pt>
                <c:pt idx="96">
                  <c:v>-19100.78946413688</c:v>
                </c:pt>
                <c:pt idx="97">
                  <c:v>-19114.067018445869</c:v>
                </c:pt>
                <c:pt idx="98">
                  <c:v>-19127.344572754861</c:v>
                </c:pt>
                <c:pt idx="99">
                  <c:v>-19140.193818860334</c:v>
                </c:pt>
                <c:pt idx="100">
                  <c:v>-19153.471373169323</c:v>
                </c:pt>
                <c:pt idx="101">
                  <c:v>-19166.320619274797</c:v>
                </c:pt>
                <c:pt idx="102">
                  <c:v>-19179.598173583785</c:v>
                </c:pt>
                <c:pt idx="103">
                  <c:v>-19192.875727892773</c:v>
                </c:pt>
                <c:pt idx="104">
                  <c:v>-19204.868357591215</c:v>
                </c:pt>
                <c:pt idx="105">
                  <c:v>-19218.145911900207</c:v>
                </c:pt>
                <c:pt idx="106">
                  <c:v>-19230.99515800568</c:v>
                </c:pt>
                <c:pt idx="107">
                  <c:v>-19244.272712314669</c:v>
                </c:pt>
                <c:pt idx="108">
                  <c:v>-19257.121958420143</c:v>
                </c:pt>
                <c:pt idx="109">
                  <c:v>-19270.399512729131</c:v>
                </c:pt>
                <c:pt idx="110">
                  <c:v>-19283.677067038119</c:v>
                </c:pt>
                <c:pt idx="111">
                  <c:v>-19296.526313143593</c:v>
                </c:pt>
                <c:pt idx="112">
                  <c:v>-19309.803867452581</c:v>
                </c:pt>
                <c:pt idx="113">
                  <c:v>-19322.653113558055</c:v>
                </c:pt>
                <c:pt idx="114">
                  <c:v>-19335.930667867047</c:v>
                </c:pt>
                <c:pt idx="115">
                  <c:v>-19349.208222176036</c:v>
                </c:pt>
                <c:pt idx="116">
                  <c:v>-19361.629160077991</c:v>
                </c:pt>
                <c:pt idx="117">
                  <c:v>-19374.906714386983</c:v>
                </c:pt>
                <c:pt idx="118">
                  <c:v>-19387.755960492457</c:v>
                </c:pt>
                <c:pt idx="119">
                  <c:v>-19401.033514801446</c:v>
                </c:pt>
                <c:pt idx="120">
                  <c:v>-19411.312911685825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FF-4F2A-B068-161B360C56FD}"/>
            </c:ext>
          </c:extLst>
        </c:ser>
        <c:ser>
          <c:idx val="3"/>
          <c:order val="3"/>
          <c:tx>
            <c:strRef>
              <c:f>'[1]Week 7 Answer Sheet'!$G$1</c:f>
              <c:strCache>
                <c:ptCount val="1"/>
                <c:pt idx="0">
                  <c:v>Close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'[1]Week 7 Answer Sheet'!$C$2:$C$122</c:f>
              <c:numCache>
                <c:formatCode>m/d/yyyy</c:formatCode>
                <c:ptCount val="121"/>
                <c:pt idx="0">
                  <c:v>41821</c:v>
                </c:pt>
                <c:pt idx="1">
                  <c:v>41852</c:v>
                </c:pt>
                <c:pt idx="2">
                  <c:v>41883</c:v>
                </c:pt>
                <c:pt idx="3">
                  <c:v>41913</c:v>
                </c:pt>
                <c:pt idx="4">
                  <c:v>41944</c:v>
                </c:pt>
                <c:pt idx="5">
                  <c:v>41974</c:v>
                </c:pt>
                <c:pt idx="6">
                  <c:v>42005</c:v>
                </c:pt>
                <c:pt idx="7">
                  <c:v>42036</c:v>
                </c:pt>
                <c:pt idx="8">
                  <c:v>42064</c:v>
                </c:pt>
                <c:pt idx="9">
                  <c:v>42095</c:v>
                </c:pt>
                <c:pt idx="10">
                  <c:v>42125</c:v>
                </c:pt>
                <c:pt idx="11">
                  <c:v>42156</c:v>
                </c:pt>
                <c:pt idx="12">
                  <c:v>42186</c:v>
                </c:pt>
                <c:pt idx="13">
                  <c:v>42217</c:v>
                </c:pt>
                <c:pt idx="14">
                  <c:v>42248</c:v>
                </c:pt>
                <c:pt idx="15">
                  <c:v>42278</c:v>
                </c:pt>
                <c:pt idx="16">
                  <c:v>42309</c:v>
                </c:pt>
                <c:pt idx="17">
                  <c:v>42339</c:v>
                </c:pt>
                <c:pt idx="18">
                  <c:v>42370</c:v>
                </c:pt>
                <c:pt idx="19">
                  <c:v>42401</c:v>
                </c:pt>
                <c:pt idx="20">
                  <c:v>42430</c:v>
                </c:pt>
                <c:pt idx="21">
                  <c:v>42461</c:v>
                </c:pt>
                <c:pt idx="22">
                  <c:v>42491</c:v>
                </c:pt>
                <c:pt idx="23">
                  <c:v>42522</c:v>
                </c:pt>
                <c:pt idx="24">
                  <c:v>42552</c:v>
                </c:pt>
                <c:pt idx="25">
                  <c:v>42583</c:v>
                </c:pt>
                <c:pt idx="26">
                  <c:v>42614</c:v>
                </c:pt>
                <c:pt idx="27">
                  <c:v>42644</c:v>
                </c:pt>
                <c:pt idx="28">
                  <c:v>42675</c:v>
                </c:pt>
                <c:pt idx="29">
                  <c:v>42705</c:v>
                </c:pt>
                <c:pt idx="30">
                  <c:v>42736</c:v>
                </c:pt>
                <c:pt idx="31">
                  <c:v>42767</c:v>
                </c:pt>
                <c:pt idx="32">
                  <c:v>42795</c:v>
                </c:pt>
                <c:pt idx="33">
                  <c:v>42826</c:v>
                </c:pt>
                <c:pt idx="34">
                  <c:v>42856</c:v>
                </c:pt>
                <c:pt idx="35">
                  <c:v>42887</c:v>
                </c:pt>
                <c:pt idx="36">
                  <c:v>42917</c:v>
                </c:pt>
                <c:pt idx="37">
                  <c:v>42948</c:v>
                </c:pt>
                <c:pt idx="38">
                  <c:v>42979</c:v>
                </c:pt>
                <c:pt idx="39">
                  <c:v>43009</c:v>
                </c:pt>
                <c:pt idx="40">
                  <c:v>43040</c:v>
                </c:pt>
                <c:pt idx="41">
                  <c:v>43070</c:v>
                </c:pt>
                <c:pt idx="42">
                  <c:v>43101</c:v>
                </c:pt>
                <c:pt idx="43">
                  <c:v>43132</c:v>
                </c:pt>
                <c:pt idx="44">
                  <c:v>43160</c:v>
                </c:pt>
                <c:pt idx="45">
                  <c:v>43191</c:v>
                </c:pt>
                <c:pt idx="46">
                  <c:v>43221</c:v>
                </c:pt>
                <c:pt idx="47">
                  <c:v>43252</c:v>
                </c:pt>
                <c:pt idx="48">
                  <c:v>43282</c:v>
                </c:pt>
                <c:pt idx="49">
                  <c:v>43313</c:v>
                </c:pt>
                <c:pt idx="50">
                  <c:v>43344</c:v>
                </c:pt>
                <c:pt idx="51">
                  <c:v>43374</c:v>
                </c:pt>
                <c:pt idx="52">
                  <c:v>43405</c:v>
                </c:pt>
                <c:pt idx="53">
                  <c:v>43435</c:v>
                </c:pt>
                <c:pt idx="54">
                  <c:v>43466</c:v>
                </c:pt>
                <c:pt idx="55">
                  <c:v>43497</c:v>
                </c:pt>
                <c:pt idx="56">
                  <c:v>43525</c:v>
                </c:pt>
                <c:pt idx="57">
                  <c:v>43556</c:v>
                </c:pt>
                <c:pt idx="58">
                  <c:v>43586</c:v>
                </c:pt>
                <c:pt idx="59">
                  <c:v>43617</c:v>
                </c:pt>
                <c:pt idx="60">
                  <c:v>43647</c:v>
                </c:pt>
                <c:pt idx="61">
                  <c:v>43678</c:v>
                </c:pt>
                <c:pt idx="62">
                  <c:v>43709</c:v>
                </c:pt>
                <c:pt idx="63">
                  <c:v>43739</c:v>
                </c:pt>
                <c:pt idx="64">
                  <c:v>43770</c:v>
                </c:pt>
                <c:pt idx="65">
                  <c:v>43800</c:v>
                </c:pt>
                <c:pt idx="66">
                  <c:v>43831</c:v>
                </c:pt>
                <c:pt idx="67">
                  <c:v>43862</c:v>
                </c:pt>
                <c:pt idx="68">
                  <c:v>43891</c:v>
                </c:pt>
                <c:pt idx="69">
                  <c:v>43922</c:v>
                </c:pt>
                <c:pt idx="70">
                  <c:v>43952</c:v>
                </c:pt>
                <c:pt idx="71">
                  <c:v>43983</c:v>
                </c:pt>
                <c:pt idx="72">
                  <c:v>44013</c:v>
                </c:pt>
                <c:pt idx="73">
                  <c:v>44044</c:v>
                </c:pt>
                <c:pt idx="74">
                  <c:v>44075</c:v>
                </c:pt>
                <c:pt idx="75">
                  <c:v>44105</c:v>
                </c:pt>
                <c:pt idx="76">
                  <c:v>44136</c:v>
                </c:pt>
                <c:pt idx="77">
                  <c:v>44166</c:v>
                </c:pt>
                <c:pt idx="78">
                  <c:v>44197</c:v>
                </c:pt>
                <c:pt idx="79">
                  <c:v>44228</c:v>
                </c:pt>
                <c:pt idx="80">
                  <c:v>44256</c:v>
                </c:pt>
                <c:pt idx="81">
                  <c:v>44287</c:v>
                </c:pt>
                <c:pt idx="82">
                  <c:v>44317</c:v>
                </c:pt>
                <c:pt idx="83">
                  <c:v>44348</c:v>
                </c:pt>
                <c:pt idx="84">
                  <c:v>44378</c:v>
                </c:pt>
                <c:pt idx="85">
                  <c:v>44409</c:v>
                </c:pt>
                <c:pt idx="86">
                  <c:v>44440</c:v>
                </c:pt>
                <c:pt idx="87">
                  <c:v>44470</c:v>
                </c:pt>
                <c:pt idx="88">
                  <c:v>44501</c:v>
                </c:pt>
                <c:pt idx="89">
                  <c:v>44531</c:v>
                </c:pt>
                <c:pt idx="90">
                  <c:v>44562</c:v>
                </c:pt>
                <c:pt idx="91">
                  <c:v>44593</c:v>
                </c:pt>
                <c:pt idx="92">
                  <c:v>44621</c:v>
                </c:pt>
                <c:pt idx="93">
                  <c:v>44652</c:v>
                </c:pt>
                <c:pt idx="94">
                  <c:v>44682</c:v>
                </c:pt>
                <c:pt idx="95">
                  <c:v>44713</c:v>
                </c:pt>
                <c:pt idx="96">
                  <c:v>44743</c:v>
                </c:pt>
                <c:pt idx="97">
                  <c:v>44774</c:v>
                </c:pt>
                <c:pt idx="98">
                  <c:v>44805</c:v>
                </c:pt>
                <c:pt idx="99">
                  <c:v>44835</c:v>
                </c:pt>
                <c:pt idx="100">
                  <c:v>44866</c:v>
                </c:pt>
                <c:pt idx="101">
                  <c:v>44896</c:v>
                </c:pt>
                <c:pt idx="102">
                  <c:v>44927</c:v>
                </c:pt>
                <c:pt idx="103">
                  <c:v>44958</c:v>
                </c:pt>
                <c:pt idx="104">
                  <c:v>44986</c:v>
                </c:pt>
                <c:pt idx="105">
                  <c:v>45017</c:v>
                </c:pt>
                <c:pt idx="106">
                  <c:v>45047</c:v>
                </c:pt>
                <c:pt idx="107">
                  <c:v>45078</c:v>
                </c:pt>
                <c:pt idx="108">
                  <c:v>45108</c:v>
                </c:pt>
                <c:pt idx="109">
                  <c:v>45139</c:v>
                </c:pt>
                <c:pt idx="110">
                  <c:v>45170</c:v>
                </c:pt>
                <c:pt idx="111">
                  <c:v>45200</c:v>
                </c:pt>
                <c:pt idx="112">
                  <c:v>45231</c:v>
                </c:pt>
                <c:pt idx="113">
                  <c:v>45261</c:v>
                </c:pt>
                <c:pt idx="114">
                  <c:v>45292</c:v>
                </c:pt>
                <c:pt idx="115">
                  <c:v>45323</c:v>
                </c:pt>
                <c:pt idx="116">
                  <c:v>45352</c:v>
                </c:pt>
                <c:pt idx="117">
                  <c:v>45383</c:v>
                </c:pt>
                <c:pt idx="118">
                  <c:v>45413</c:v>
                </c:pt>
                <c:pt idx="119">
                  <c:v>45444</c:v>
                </c:pt>
                <c:pt idx="120">
                  <c:v>45468</c:v>
                </c:pt>
              </c:numCache>
            </c:numRef>
          </c:cat>
          <c:val>
            <c:numRef>
              <c:f>'[1]Week 7 Answer Sheet'!$G$2:$G$122</c:f>
              <c:numCache>
                <c:formatCode>0.00</c:formatCode>
                <c:ptCount val="121"/>
                <c:pt idx="0">
                  <c:v>36.220001000000003</c:v>
                </c:pt>
                <c:pt idx="1">
                  <c:v>37.880001</c:v>
                </c:pt>
                <c:pt idx="2">
                  <c:v>40.169998</c:v>
                </c:pt>
                <c:pt idx="3">
                  <c:v>40.150002000000001</c:v>
                </c:pt>
                <c:pt idx="4">
                  <c:v>44.16</c:v>
                </c:pt>
                <c:pt idx="5">
                  <c:v>45.330002</c:v>
                </c:pt>
                <c:pt idx="6">
                  <c:v>43.959999000000003</c:v>
                </c:pt>
                <c:pt idx="7">
                  <c:v>43.990001999999997</c:v>
                </c:pt>
                <c:pt idx="8">
                  <c:v>47.84</c:v>
                </c:pt>
                <c:pt idx="9">
                  <c:v>43.970001000000003</c:v>
                </c:pt>
                <c:pt idx="10">
                  <c:v>46.330002</c:v>
                </c:pt>
                <c:pt idx="11">
                  <c:v>49.389999000000003</c:v>
                </c:pt>
                <c:pt idx="12">
                  <c:v>53.290000999999997</c:v>
                </c:pt>
                <c:pt idx="13">
                  <c:v>49.23</c:v>
                </c:pt>
                <c:pt idx="14">
                  <c:v>49.700001</c:v>
                </c:pt>
                <c:pt idx="15">
                  <c:v>54.080002</c:v>
                </c:pt>
                <c:pt idx="16">
                  <c:v>50.529998999999997</c:v>
                </c:pt>
                <c:pt idx="17">
                  <c:v>54.48</c:v>
                </c:pt>
                <c:pt idx="18">
                  <c:v>48.130001</c:v>
                </c:pt>
                <c:pt idx="19">
                  <c:v>47.959999000000003</c:v>
                </c:pt>
                <c:pt idx="20">
                  <c:v>52.77</c:v>
                </c:pt>
                <c:pt idx="21">
                  <c:v>49.049999</c:v>
                </c:pt>
                <c:pt idx="22">
                  <c:v>47.740001999999997</c:v>
                </c:pt>
                <c:pt idx="23">
                  <c:v>44.200001</c:v>
                </c:pt>
                <c:pt idx="24">
                  <c:v>46.720001000000003</c:v>
                </c:pt>
                <c:pt idx="25">
                  <c:v>47.799999</c:v>
                </c:pt>
                <c:pt idx="26">
                  <c:v>48.82</c:v>
                </c:pt>
                <c:pt idx="27">
                  <c:v>49.099997999999999</c:v>
                </c:pt>
                <c:pt idx="28">
                  <c:v>51.41</c:v>
                </c:pt>
                <c:pt idx="29">
                  <c:v>52.060001</c:v>
                </c:pt>
                <c:pt idx="30">
                  <c:v>55.380001</c:v>
                </c:pt>
                <c:pt idx="31">
                  <c:v>55.950001</c:v>
                </c:pt>
                <c:pt idx="32">
                  <c:v>58.91</c:v>
                </c:pt>
                <c:pt idx="33">
                  <c:v>61.77</c:v>
                </c:pt>
                <c:pt idx="34">
                  <c:v>64.069999999999993</c:v>
                </c:pt>
                <c:pt idx="35">
                  <c:v>65.569999999999993</c:v>
                </c:pt>
                <c:pt idx="36">
                  <c:v>66.779999000000004</c:v>
                </c:pt>
                <c:pt idx="37">
                  <c:v>69.480002999999996</c:v>
                </c:pt>
                <c:pt idx="38">
                  <c:v>64.569999999999993</c:v>
                </c:pt>
                <c:pt idx="39">
                  <c:v>66.389999000000003</c:v>
                </c:pt>
                <c:pt idx="40">
                  <c:v>65.639999000000003</c:v>
                </c:pt>
                <c:pt idx="41">
                  <c:v>66.370002999999997</c:v>
                </c:pt>
                <c:pt idx="42">
                  <c:v>71.610000999999997</c:v>
                </c:pt>
                <c:pt idx="43">
                  <c:v>66.910004000000001</c:v>
                </c:pt>
                <c:pt idx="44">
                  <c:v>65.580001999999993</c:v>
                </c:pt>
                <c:pt idx="45">
                  <c:v>63.060001</c:v>
                </c:pt>
                <c:pt idx="46">
                  <c:v>62.279998999999997</c:v>
                </c:pt>
                <c:pt idx="47">
                  <c:v>57.310001</c:v>
                </c:pt>
                <c:pt idx="48">
                  <c:v>59.240001999999997</c:v>
                </c:pt>
                <c:pt idx="49">
                  <c:v>61.490001999999997</c:v>
                </c:pt>
                <c:pt idx="50">
                  <c:v>63.77</c:v>
                </c:pt>
                <c:pt idx="51">
                  <c:v>56.040000999999997</c:v>
                </c:pt>
                <c:pt idx="52">
                  <c:v>60.290000999999997</c:v>
                </c:pt>
                <c:pt idx="53">
                  <c:v>49.299999</c:v>
                </c:pt>
                <c:pt idx="54">
                  <c:v>57.580002</c:v>
                </c:pt>
                <c:pt idx="55">
                  <c:v>57.759998000000003</c:v>
                </c:pt>
                <c:pt idx="56">
                  <c:v>50.720001000000003</c:v>
                </c:pt>
                <c:pt idx="57">
                  <c:v>54.860000999999997</c:v>
                </c:pt>
                <c:pt idx="58">
                  <c:v>51.189999</c:v>
                </c:pt>
                <c:pt idx="59">
                  <c:v>46.549999</c:v>
                </c:pt>
                <c:pt idx="60">
                  <c:v>47.23</c:v>
                </c:pt>
                <c:pt idx="61">
                  <c:v>44.080002</c:v>
                </c:pt>
                <c:pt idx="62">
                  <c:v>43.709999000000003</c:v>
                </c:pt>
                <c:pt idx="63">
                  <c:v>42.889999000000003</c:v>
                </c:pt>
                <c:pt idx="64">
                  <c:v>45.080002</c:v>
                </c:pt>
                <c:pt idx="65">
                  <c:v>50.830002</c:v>
                </c:pt>
                <c:pt idx="66">
                  <c:v>43.529998999999997</c:v>
                </c:pt>
                <c:pt idx="67">
                  <c:v>33.459999000000003</c:v>
                </c:pt>
                <c:pt idx="68">
                  <c:v>13.17</c:v>
                </c:pt>
                <c:pt idx="69">
                  <c:v>15.9</c:v>
                </c:pt>
                <c:pt idx="70">
                  <c:v>15.74</c:v>
                </c:pt>
                <c:pt idx="71">
                  <c:v>16.420000000000002</c:v>
                </c:pt>
                <c:pt idx="72">
                  <c:v>13.88</c:v>
                </c:pt>
                <c:pt idx="73">
                  <c:v>16.48</c:v>
                </c:pt>
                <c:pt idx="74">
                  <c:v>15.18</c:v>
                </c:pt>
                <c:pt idx="75">
                  <c:v>13.71</c:v>
                </c:pt>
                <c:pt idx="76">
                  <c:v>19.98</c:v>
                </c:pt>
                <c:pt idx="77">
                  <c:v>21.66</c:v>
                </c:pt>
                <c:pt idx="78">
                  <c:v>18.670000000000002</c:v>
                </c:pt>
                <c:pt idx="79">
                  <c:v>26.75</c:v>
                </c:pt>
                <c:pt idx="80">
                  <c:v>26.540001</c:v>
                </c:pt>
                <c:pt idx="81">
                  <c:v>27.959999</c:v>
                </c:pt>
                <c:pt idx="82">
                  <c:v>29.559999000000001</c:v>
                </c:pt>
                <c:pt idx="83">
                  <c:v>26.360001</c:v>
                </c:pt>
                <c:pt idx="84">
                  <c:v>21.65</c:v>
                </c:pt>
                <c:pt idx="85">
                  <c:v>24.139999</c:v>
                </c:pt>
                <c:pt idx="86">
                  <c:v>25.01</c:v>
                </c:pt>
                <c:pt idx="87">
                  <c:v>22.16</c:v>
                </c:pt>
                <c:pt idx="88">
                  <c:v>17.620000999999998</c:v>
                </c:pt>
                <c:pt idx="89">
                  <c:v>20.120000999999998</c:v>
                </c:pt>
                <c:pt idx="90">
                  <c:v>19.809999000000001</c:v>
                </c:pt>
                <c:pt idx="91">
                  <c:v>20.329999999999998</c:v>
                </c:pt>
                <c:pt idx="92">
                  <c:v>20.219999000000001</c:v>
                </c:pt>
                <c:pt idx="93">
                  <c:v>17.299999</c:v>
                </c:pt>
                <c:pt idx="94">
                  <c:v>13.88</c:v>
                </c:pt>
                <c:pt idx="95">
                  <c:v>8.65</c:v>
                </c:pt>
                <c:pt idx="96">
                  <c:v>9.06</c:v>
                </c:pt>
                <c:pt idx="97">
                  <c:v>9.4600000000000009</c:v>
                </c:pt>
                <c:pt idx="98">
                  <c:v>7.03</c:v>
                </c:pt>
                <c:pt idx="99">
                  <c:v>9.06</c:v>
                </c:pt>
                <c:pt idx="100">
                  <c:v>9.93</c:v>
                </c:pt>
                <c:pt idx="101">
                  <c:v>8.06</c:v>
                </c:pt>
                <c:pt idx="102">
                  <c:v>10.82</c:v>
                </c:pt>
                <c:pt idx="103">
                  <c:v>10.62</c:v>
                </c:pt>
                <c:pt idx="104">
                  <c:v>10.15</c:v>
                </c:pt>
                <c:pt idx="105">
                  <c:v>9.2100000000000009</c:v>
                </c:pt>
                <c:pt idx="106">
                  <c:v>11.23</c:v>
                </c:pt>
                <c:pt idx="107">
                  <c:v>18.829999999999998</c:v>
                </c:pt>
                <c:pt idx="108">
                  <c:v>18.84</c:v>
                </c:pt>
                <c:pt idx="109">
                  <c:v>15.82</c:v>
                </c:pt>
                <c:pt idx="110">
                  <c:v>13.72</c:v>
                </c:pt>
                <c:pt idx="111">
                  <c:v>11.46</c:v>
                </c:pt>
                <c:pt idx="112">
                  <c:v>15.06</c:v>
                </c:pt>
                <c:pt idx="113">
                  <c:v>18.540001</c:v>
                </c:pt>
                <c:pt idx="114">
                  <c:v>16.579999999999998</c:v>
                </c:pt>
                <c:pt idx="115">
                  <c:v>15.86</c:v>
                </c:pt>
                <c:pt idx="116">
                  <c:v>16.34</c:v>
                </c:pt>
                <c:pt idx="117">
                  <c:v>14.82</c:v>
                </c:pt>
                <c:pt idx="118">
                  <c:v>15.08</c:v>
                </c:pt>
                <c:pt idx="119">
                  <c:v>16.389999</c:v>
                </c:pt>
                <c:pt idx="120">
                  <c:v>17.689899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FF-4F2A-B068-161B360C5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950191"/>
        <c:axId val="1298966031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'[1]Week 7 Answer Sheet'!$D$1</c15:sqref>
                        </c15:formulaRef>
                      </c:ext>
                    </c:extLst>
                    <c:strCache>
                      <c:ptCount val="1"/>
                      <c:pt idx="0">
                        <c:v>Open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</a:ln>
                  <a:effectLst>
                    <a:glow rad="139700">
                      <a:schemeClr val="accent2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2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'[1]Week 7 Answer Sheet'!$C$2:$C$122</c15:sqref>
                        </c15:formulaRef>
                      </c:ext>
                    </c:extLst>
                    <c:numCache>
                      <c:formatCode>m/d/yyyy</c:formatCode>
                      <c:ptCount val="121"/>
                      <c:pt idx="0">
                        <c:v>41821</c:v>
                      </c:pt>
                      <c:pt idx="1">
                        <c:v>41852</c:v>
                      </c:pt>
                      <c:pt idx="2">
                        <c:v>41883</c:v>
                      </c:pt>
                      <c:pt idx="3">
                        <c:v>41913</c:v>
                      </c:pt>
                      <c:pt idx="4">
                        <c:v>41944</c:v>
                      </c:pt>
                      <c:pt idx="5">
                        <c:v>41974</c:v>
                      </c:pt>
                      <c:pt idx="6">
                        <c:v>42005</c:v>
                      </c:pt>
                      <c:pt idx="7">
                        <c:v>42036</c:v>
                      </c:pt>
                      <c:pt idx="8">
                        <c:v>42064</c:v>
                      </c:pt>
                      <c:pt idx="9">
                        <c:v>42095</c:v>
                      </c:pt>
                      <c:pt idx="10">
                        <c:v>42125</c:v>
                      </c:pt>
                      <c:pt idx="11">
                        <c:v>42156</c:v>
                      </c:pt>
                      <c:pt idx="12">
                        <c:v>42186</c:v>
                      </c:pt>
                      <c:pt idx="13">
                        <c:v>42217</c:v>
                      </c:pt>
                      <c:pt idx="14">
                        <c:v>42248</c:v>
                      </c:pt>
                      <c:pt idx="15">
                        <c:v>42278</c:v>
                      </c:pt>
                      <c:pt idx="16">
                        <c:v>42309</c:v>
                      </c:pt>
                      <c:pt idx="17">
                        <c:v>42339</c:v>
                      </c:pt>
                      <c:pt idx="18">
                        <c:v>42370</c:v>
                      </c:pt>
                      <c:pt idx="19">
                        <c:v>42401</c:v>
                      </c:pt>
                      <c:pt idx="20">
                        <c:v>42430</c:v>
                      </c:pt>
                      <c:pt idx="21">
                        <c:v>42461</c:v>
                      </c:pt>
                      <c:pt idx="22">
                        <c:v>42491</c:v>
                      </c:pt>
                      <c:pt idx="23">
                        <c:v>42522</c:v>
                      </c:pt>
                      <c:pt idx="24">
                        <c:v>42552</c:v>
                      </c:pt>
                      <c:pt idx="25">
                        <c:v>42583</c:v>
                      </c:pt>
                      <c:pt idx="26">
                        <c:v>42614</c:v>
                      </c:pt>
                      <c:pt idx="27">
                        <c:v>42644</c:v>
                      </c:pt>
                      <c:pt idx="28">
                        <c:v>42675</c:v>
                      </c:pt>
                      <c:pt idx="29">
                        <c:v>42705</c:v>
                      </c:pt>
                      <c:pt idx="30">
                        <c:v>42736</c:v>
                      </c:pt>
                      <c:pt idx="31">
                        <c:v>42767</c:v>
                      </c:pt>
                      <c:pt idx="32">
                        <c:v>42795</c:v>
                      </c:pt>
                      <c:pt idx="33">
                        <c:v>42826</c:v>
                      </c:pt>
                      <c:pt idx="34">
                        <c:v>42856</c:v>
                      </c:pt>
                      <c:pt idx="35">
                        <c:v>42887</c:v>
                      </c:pt>
                      <c:pt idx="36">
                        <c:v>42917</c:v>
                      </c:pt>
                      <c:pt idx="37">
                        <c:v>42948</c:v>
                      </c:pt>
                      <c:pt idx="38">
                        <c:v>42979</c:v>
                      </c:pt>
                      <c:pt idx="39">
                        <c:v>43009</c:v>
                      </c:pt>
                      <c:pt idx="40">
                        <c:v>43040</c:v>
                      </c:pt>
                      <c:pt idx="41">
                        <c:v>43070</c:v>
                      </c:pt>
                      <c:pt idx="42">
                        <c:v>43101</c:v>
                      </c:pt>
                      <c:pt idx="43">
                        <c:v>43132</c:v>
                      </c:pt>
                      <c:pt idx="44">
                        <c:v>43160</c:v>
                      </c:pt>
                      <c:pt idx="45">
                        <c:v>43191</c:v>
                      </c:pt>
                      <c:pt idx="46">
                        <c:v>43221</c:v>
                      </c:pt>
                      <c:pt idx="47">
                        <c:v>43252</c:v>
                      </c:pt>
                      <c:pt idx="48">
                        <c:v>43282</c:v>
                      </c:pt>
                      <c:pt idx="49">
                        <c:v>43313</c:v>
                      </c:pt>
                      <c:pt idx="50">
                        <c:v>43344</c:v>
                      </c:pt>
                      <c:pt idx="51">
                        <c:v>43374</c:v>
                      </c:pt>
                      <c:pt idx="52">
                        <c:v>43405</c:v>
                      </c:pt>
                      <c:pt idx="53">
                        <c:v>43435</c:v>
                      </c:pt>
                      <c:pt idx="54">
                        <c:v>43466</c:v>
                      </c:pt>
                      <c:pt idx="55">
                        <c:v>43497</c:v>
                      </c:pt>
                      <c:pt idx="56">
                        <c:v>43525</c:v>
                      </c:pt>
                      <c:pt idx="57">
                        <c:v>43556</c:v>
                      </c:pt>
                      <c:pt idx="58">
                        <c:v>43586</c:v>
                      </c:pt>
                      <c:pt idx="59">
                        <c:v>43617</c:v>
                      </c:pt>
                      <c:pt idx="60">
                        <c:v>43647</c:v>
                      </c:pt>
                      <c:pt idx="61">
                        <c:v>43678</c:v>
                      </c:pt>
                      <c:pt idx="62">
                        <c:v>43709</c:v>
                      </c:pt>
                      <c:pt idx="63">
                        <c:v>43739</c:v>
                      </c:pt>
                      <c:pt idx="64">
                        <c:v>43770</c:v>
                      </c:pt>
                      <c:pt idx="65">
                        <c:v>43800</c:v>
                      </c:pt>
                      <c:pt idx="66">
                        <c:v>43831</c:v>
                      </c:pt>
                      <c:pt idx="67">
                        <c:v>43862</c:v>
                      </c:pt>
                      <c:pt idx="68">
                        <c:v>43891</c:v>
                      </c:pt>
                      <c:pt idx="69">
                        <c:v>43922</c:v>
                      </c:pt>
                      <c:pt idx="70">
                        <c:v>43952</c:v>
                      </c:pt>
                      <c:pt idx="71">
                        <c:v>43983</c:v>
                      </c:pt>
                      <c:pt idx="72">
                        <c:v>44013</c:v>
                      </c:pt>
                      <c:pt idx="73">
                        <c:v>44044</c:v>
                      </c:pt>
                      <c:pt idx="74">
                        <c:v>44075</c:v>
                      </c:pt>
                      <c:pt idx="75">
                        <c:v>44105</c:v>
                      </c:pt>
                      <c:pt idx="76">
                        <c:v>44136</c:v>
                      </c:pt>
                      <c:pt idx="77">
                        <c:v>44166</c:v>
                      </c:pt>
                      <c:pt idx="78">
                        <c:v>44197</c:v>
                      </c:pt>
                      <c:pt idx="79">
                        <c:v>44228</c:v>
                      </c:pt>
                      <c:pt idx="80">
                        <c:v>44256</c:v>
                      </c:pt>
                      <c:pt idx="81">
                        <c:v>44287</c:v>
                      </c:pt>
                      <c:pt idx="82">
                        <c:v>44317</c:v>
                      </c:pt>
                      <c:pt idx="83">
                        <c:v>44348</c:v>
                      </c:pt>
                      <c:pt idx="84">
                        <c:v>44378</c:v>
                      </c:pt>
                      <c:pt idx="85">
                        <c:v>44409</c:v>
                      </c:pt>
                      <c:pt idx="86">
                        <c:v>44440</c:v>
                      </c:pt>
                      <c:pt idx="87">
                        <c:v>44470</c:v>
                      </c:pt>
                      <c:pt idx="88">
                        <c:v>44501</c:v>
                      </c:pt>
                      <c:pt idx="89">
                        <c:v>44531</c:v>
                      </c:pt>
                      <c:pt idx="90">
                        <c:v>44562</c:v>
                      </c:pt>
                      <c:pt idx="91">
                        <c:v>44593</c:v>
                      </c:pt>
                      <c:pt idx="92">
                        <c:v>44621</c:v>
                      </c:pt>
                      <c:pt idx="93">
                        <c:v>44652</c:v>
                      </c:pt>
                      <c:pt idx="94">
                        <c:v>44682</c:v>
                      </c:pt>
                      <c:pt idx="95">
                        <c:v>44713</c:v>
                      </c:pt>
                      <c:pt idx="96">
                        <c:v>44743</c:v>
                      </c:pt>
                      <c:pt idx="97">
                        <c:v>44774</c:v>
                      </c:pt>
                      <c:pt idx="98">
                        <c:v>44805</c:v>
                      </c:pt>
                      <c:pt idx="99">
                        <c:v>44835</c:v>
                      </c:pt>
                      <c:pt idx="100">
                        <c:v>44866</c:v>
                      </c:pt>
                      <c:pt idx="101">
                        <c:v>44896</c:v>
                      </c:pt>
                      <c:pt idx="102">
                        <c:v>44927</c:v>
                      </c:pt>
                      <c:pt idx="103">
                        <c:v>44958</c:v>
                      </c:pt>
                      <c:pt idx="104">
                        <c:v>44986</c:v>
                      </c:pt>
                      <c:pt idx="105">
                        <c:v>45017</c:v>
                      </c:pt>
                      <c:pt idx="106">
                        <c:v>45047</c:v>
                      </c:pt>
                      <c:pt idx="107">
                        <c:v>45078</c:v>
                      </c:pt>
                      <c:pt idx="108">
                        <c:v>45108</c:v>
                      </c:pt>
                      <c:pt idx="109">
                        <c:v>45139</c:v>
                      </c:pt>
                      <c:pt idx="110">
                        <c:v>45170</c:v>
                      </c:pt>
                      <c:pt idx="111">
                        <c:v>45200</c:v>
                      </c:pt>
                      <c:pt idx="112">
                        <c:v>45231</c:v>
                      </c:pt>
                      <c:pt idx="113">
                        <c:v>45261</c:v>
                      </c:pt>
                      <c:pt idx="114">
                        <c:v>45292</c:v>
                      </c:pt>
                      <c:pt idx="115">
                        <c:v>45323</c:v>
                      </c:pt>
                      <c:pt idx="116">
                        <c:v>45352</c:v>
                      </c:pt>
                      <c:pt idx="117">
                        <c:v>45383</c:v>
                      </c:pt>
                      <c:pt idx="118">
                        <c:v>45413</c:v>
                      </c:pt>
                      <c:pt idx="119">
                        <c:v>45444</c:v>
                      </c:pt>
                      <c:pt idx="120">
                        <c:v>45468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'[1]Week 7 Answer Sheet'!$D$2:$D$122</c15:sqref>
                        </c15:formulaRef>
                      </c:ext>
                    </c:extLst>
                    <c:numCache>
                      <c:formatCode>0.00</c:formatCode>
                      <c:ptCount val="121"/>
                      <c:pt idx="0">
                        <c:v>37.759998000000003</c:v>
                      </c:pt>
                      <c:pt idx="1">
                        <c:v>36.139999000000003</c:v>
                      </c:pt>
                      <c:pt idx="2">
                        <c:v>37.729999999999997</c:v>
                      </c:pt>
                      <c:pt idx="3">
                        <c:v>40</c:v>
                      </c:pt>
                      <c:pt idx="4">
                        <c:v>40.150002000000001</c:v>
                      </c:pt>
                      <c:pt idx="5">
                        <c:v>43.75</c:v>
                      </c:pt>
                      <c:pt idx="6">
                        <c:v>45.91</c:v>
                      </c:pt>
                      <c:pt idx="7">
                        <c:v>43.82</c:v>
                      </c:pt>
                      <c:pt idx="8">
                        <c:v>44.029998999999997</c:v>
                      </c:pt>
                      <c:pt idx="9">
                        <c:v>47.810001</c:v>
                      </c:pt>
                      <c:pt idx="10">
                        <c:v>43.880001</c:v>
                      </c:pt>
                      <c:pt idx="11">
                        <c:v>46.490001999999997</c:v>
                      </c:pt>
                      <c:pt idx="12">
                        <c:v>49.91</c:v>
                      </c:pt>
                      <c:pt idx="13">
                        <c:v>53.150002000000001</c:v>
                      </c:pt>
                      <c:pt idx="14">
                        <c:v>48.110000999999997</c:v>
                      </c:pt>
                      <c:pt idx="15">
                        <c:v>50.009998000000003</c:v>
                      </c:pt>
                      <c:pt idx="16">
                        <c:v>54.290000999999997</c:v>
                      </c:pt>
                      <c:pt idx="17">
                        <c:v>51.130001</c:v>
                      </c:pt>
                      <c:pt idx="18">
                        <c:v>54.16</c:v>
                      </c:pt>
                      <c:pt idx="19">
                        <c:v>48.099997999999999</c:v>
                      </c:pt>
                      <c:pt idx="20">
                        <c:v>48.59</c:v>
                      </c:pt>
                      <c:pt idx="21">
                        <c:v>52.200001</c:v>
                      </c:pt>
                      <c:pt idx="22">
                        <c:v>49.330002</c:v>
                      </c:pt>
                      <c:pt idx="23">
                        <c:v>47.279998999999997</c:v>
                      </c:pt>
                      <c:pt idx="24">
                        <c:v>44.720001000000003</c:v>
                      </c:pt>
                      <c:pt idx="25">
                        <c:v>46.580002</c:v>
                      </c:pt>
                      <c:pt idx="26">
                        <c:v>48.049999</c:v>
                      </c:pt>
                      <c:pt idx="27">
                        <c:v>48.740001999999997</c:v>
                      </c:pt>
                      <c:pt idx="28">
                        <c:v>49.09</c:v>
                      </c:pt>
                      <c:pt idx="29">
                        <c:v>50.849997999999999</c:v>
                      </c:pt>
                      <c:pt idx="30">
                        <c:v>52.23</c:v>
                      </c:pt>
                      <c:pt idx="31">
                        <c:v>55.27</c:v>
                      </c:pt>
                      <c:pt idx="32">
                        <c:v>56.509998000000003</c:v>
                      </c:pt>
                      <c:pt idx="33">
                        <c:v>59</c:v>
                      </c:pt>
                      <c:pt idx="34">
                        <c:v>61.779998999999997</c:v>
                      </c:pt>
                      <c:pt idx="35">
                        <c:v>64.309997999999993</c:v>
                      </c:pt>
                      <c:pt idx="36">
                        <c:v>65.650002000000001</c:v>
                      </c:pt>
                      <c:pt idx="37">
                        <c:v>68.169998000000007</c:v>
                      </c:pt>
                      <c:pt idx="38">
                        <c:v>69.819999999999993</c:v>
                      </c:pt>
                      <c:pt idx="39">
                        <c:v>64.059997999999993</c:v>
                      </c:pt>
                      <c:pt idx="40">
                        <c:v>66.580001999999993</c:v>
                      </c:pt>
                      <c:pt idx="41">
                        <c:v>65.319999999999993</c:v>
                      </c:pt>
                      <c:pt idx="42">
                        <c:v>67.220000999999996</c:v>
                      </c:pt>
                      <c:pt idx="43">
                        <c:v>71.930000000000007</c:v>
                      </c:pt>
                      <c:pt idx="44">
                        <c:v>66.610000999999997</c:v>
                      </c:pt>
                      <c:pt idx="45">
                        <c:v>65.680000000000007</c:v>
                      </c:pt>
                      <c:pt idx="46">
                        <c:v>63.240001999999997</c:v>
                      </c:pt>
                      <c:pt idx="47">
                        <c:v>62.68</c:v>
                      </c:pt>
                      <c:pt idx="48">
                        <c:v>56.830002</c:v>
                      </c:pt>
                      <c:pt idx="49">
                        <c:v>59.16</c:v>
                      </c:pt>
                      <c:pt idx="50">
                        <c:v>61.209999000000003</c:v>
                      </c:pt>
                      <c:pt idx="51">
                        <c:v>63.720001000000003</c:v>
                      </c:pt>
                      <c:pt idx="52">
                        <c:v>56.389999000000003</c:v>
                      </c:pt>
                      <c:pt idx="53">
                        <c:v>60.599997999999999</c:v>
                      </c:pt>
                      <c:pt idx="54">
                        <c:v>48.939999</c:v>
                      </c:pt>
                      <c:pt idx="55">
                        <c:v>57.549999</c:v>
                      </c:pt>
                      <c:pt idx="56">
                        <c:v>58.34</c:v>
                      </c:pt>
                      <c:pt idx="57">
                        <c:v>51</c:v>
                      </c:pt>
                      <c:pt idx="58">
                        <c:v>55.599997999999999</c:v>
                      </c:pt>
                      <c:pt idx="59">
                        <c:v>50.990001999999997</c:v>
                      </c:pt>
                      <c:pt idx="60">
                        <c:v>46.759998000000003</c:v>
                      </c:pt>
                      <c:pt idx="61">
                        <c:v>47.09</c:v>
                      </c:pt>
                      <c:pt idx="62">
                        <c:v>43.82</c:v>
                      </c:pt>
                      <c:pt idx="63">
                        <c:v>43.799999</c:v>
                      </c:pt>
                      <c:pt idx="64">
                        <c:v>43.23</c:v>
                      </c:pt>
                      <c:pt idx="65">
                        <c:v>45.16</c:v>
                      </c:pt>
                      <c:pt idx="66">
                        <c:v>51.349997999999999</c:v>
                      </c:pt>
                      <c:pt idx="67">
                        <c:v>43.75</c:v>
                      </c:pt>
                      <c:pt idx="68">
                        <c:v>32.709999000000003</c:v>
                      </c:pt>
                      <c:pt idx="69">
                        <c:v>12.6</c:v>
                      </c:pt>
                      <c:pt idx="70">
                        <c:v>14.9</c:v>
                      </c:pt>
                      <c:pt idx="71">
                        <c:v>15.98</c:v>
                      </c:pt>
                      <c:pt idx="72">
                        <c:v>16.940000999999999</c:v>
                      </c:pt>
                      <c:pt idx="73">
                        <c:v>13.48</c:v>
                      </c:pt>
                      <c:pt idx="74">
                        <c:v>16.09</c:v>
                      </c:pt>
                      <c:pt idx="75">
                        <c:v>15.43</c:v>
                      </c:pt>
                      <c:pt idx="76">
                        <c:v>13.49</c:v>
                      </c:pt>
                      <c:pt idx="77">
                        <c:v>20.99</c:v>
                      </c:pt>
                      <c:pt idx="78">
                        <c:v>21.700001</c:v>
                      </c:pt>
                      <c:pt idx="79">
                        <c:v>18.959999</c:v>
                      </c:pt>
                      <c:pt idx="80">
                        <c:v>27.549999</c:v>
                      </c:pt>
                      <c:pt idx="81">
                        <c:v>26.99</c:v>
                      </c:pt>
                      <c:pt idx="82">
                        <c:v>28.02</c:v>
                      </c:pt>
                      <c:pt idx="83">
                        <c:v>30.190000999999999</c:v>
                      </c:pt>
                      <c:pt idx="84">
                        <c:v>26.59</c:v>
                      </c:pt>
                      <c:pt idx="85">
                        <c:v>21.83</c:v>
                      </c:pt>
                      <c:pt idx="86">
                        <c:v>24.219999000000001</c:v>
                      </c:pt>
                      <c:pt idx="87">
                        <c:v>26.07</c:v>
                      </c:pt>
                      <c:pt idx="88">
                        <c:v>22.299999</c:v>
                      </c:pt>
                      <c:pt idx="89">
                        <c:v>18.120000999999998</c:v>
                      </c:pt>
                      <c:pt idx="90">
                        <c:v>20.559999000000001</c:v>
                      </c:pt>
                      <c:pt idx="91">
                        <c:v>19.950001</c:v>
                      </c:pt>
                      <c:pt idx="92">
                        <c:v>19.969999000000001</c:v>
                      </c:pt>
                      <c:pt idx="93">
                        <c:v>20.350000000000001</c:v>
                      </c:pt>
                      <c:pt idx="94">
                        <c:v>17.309999000000001</c:v>
                      </c:pt>
                      <c:pt idx="95">
                        <c:v>14.04</c:v>
                      </c:pt>
                      <c:pt idx="96">
                        <c:v>8.61</c:v>
                      </c:pt>
                      <c:pt idx="97">
                        <c:v>8.9</c:v>
                      </c:pt>
                      <c:pt idx="98">
                        <c:v>9.2899999999999991</c:v>
                      </c:pt>
                      <c:pt idx="99">
                        <c:v>7.17</c:v>
                      </c:pt>
                      <c:pt idx="100">
                        <c:v>9.39</c:v>
                      </c:pt>
                      <c:pt idx="101">
                        <c:v>9.9600000000000009</c:v>
                      </c:pt>
                      <c:pt idx="102">
                        <c:v>8.24</c:v>
                      </c:pt>
                      <c:pt idx="103">
                        <c:v>10.82</c:v>
                      </c:pt>
                      <c:pt idx="104">
                        <c:v>10.62</c:v>
                      </c:pt>
                      <c:pt idx="105">
                        <c:v>9.98</c:v>
                      </c:pt>
                      <c:pt idx="106">
                        <c:v>9.27</c:v>
                      </c:pt>
                      <c:pt idx="107">
                        <c:v>11.32</c:v>
                      </c:pt>
                      <c:pt idx="108">
                        <c:v>18.549999</c:v>
                      </c:pt>
                      <c:pt idx="109">
                        <c:v>18.16</c:v>
                      </c:pt>
                      <c:pt idx="110">
                        <c:v>15.83</c:v>
                      </c:pt>
                      <c:pt idx="111">
                        <c:v>13.5</c:v>
                      </c:pt>
                      <c:pt idx="112">
                        <c:v>11.45</c:v>
                      </c:pt>
                      <c:pt idx="113">
                        <c:v>15.12</c:v>
                      </c:pt>
                      <c:pt idx="114">
                        <c:v>18.309999000000001</c:v>
                      </c:pt>
                      <c:pt idx="115">
                        <c:v>17.09</c:v>
                      </c:pt>
                      <c:pt idx="116">
                        <c:v>15.9</c:v>
                      </c:pt>
                      <c:pt idx="117">
                        <c:v>16.48</c:v>
                      </c:pt>
                      <c:pt idx="118">
                        <c:v>14.63</c:v>
                      </c:pt>
                      <c:pt idx="119">
                        <c:v>15.21</c:v>
                      </c:pt>
                      <c:pt idx="120">
                        <c:v>17.02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DFF-4F2A-B068-161B360C56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'[1]Week 7 Answer Sheet'!$C$1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</a:ln>
                  <a:effectLst>
                    <a:glow rad="139700">
                      <a:schemeClr val="accent3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3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'[1]Week 7 Answer Sheet'!$C$2:$C$122</c15:sqref>
                        </c15:formulaRef>
                      </c:ext>
                    </c:extLst>
                    <c:numCache>
                      <c:formatCode>m/d/yyyy</c:formatCode>
                      <c:ptCount val="121"/>
                      <c:pt idx="0">
                        <c:v>41821</c:v>
                      </c:pt>
                      <c:pt idx="1">
                        <c:v>41852</c:v>
                      </c:pt>
                      <c:pt idx="2">
                        <c:v>41883</c:v>
                      </c:pt>
                      <c:pt idx="3">
                        <c:v>41913</c:v>
                      </c:pt>
                      <c:pt idx="4">
                        <c:v>41944</c:v>
                      </c:pt>
                      <c:pt idx="5">
                        <c:v>41974</c:v>
                      </c:pt>
                      <c:pt idx="6">
                        <c:v>42005</c:v>
                      </c:pt>
                      <c:pt idx="7">
                        <c:v>42036</c:v>
                      </c:pt>
                      <c:pt idx="8">
                        <c:v>42064</c:v>
                      </c:pt>
                      <c:pt idx="9">
                        <c:v>42095</c:v>
                      </c:pt>
                      <c:pt idx="10">
                        <c:v>42125</c:v>
                      </c:pt>
                      <c:pt idx="11">
                        <c:v>42156</c:v>
                      </c:pt>
                      <c:pt idx="12">
                        <c:v>42186</c:v>
                      </c:pt>
                      <c:pt idx="13">
                        <c:v>42217</c:v>
                      </c:pt>
                      <c:pt idx="14">
                        <c:v>42248</c:v>
                      </c:pt>
                      <c:pt idx="15">
                        <c:v>42278</c:v>
                      </c:pt>
                      <c:pt idx="16">
                        <c:v>42309</c:v>
                      </c:pt>
                      <c:pt idx="17">
                        <c:v>42339</c:v>
                      </c:pt>
                      <c:pt idx="18">
                        <c:v>42370</c:v>
                      </c:pt>
                      <c:pt idx="19">
                        <c:v>42401</c:v>
                      </c:pt>
                      <c:pt idx="20">
                        <c:v>42430</c:v>
                      </c:pt>
                      <c:pt idx="21">
                        <c:v>42461</c:v>
                      </c:pt>
                      <c:pt idx="22">
                        <c:v>42491</c:v>
                      </c:pt>
                      <c:pt idx="23">
                        <c:v>42522</c:v>
                      </c:pt>
                      <c:pt idx="24">
                        <c:v>42552</c:v>
                      </c:pt>
                      <c:pt idx="25">
                        <c:v>42583</c:v>
                      </c:pt>
                      <c:pt idx="26">
                        <c:v>42614</c:v>
                      </c:pt>
                      <c:pt idx="27">
                        <c:v>42644</c:v>
                      </c:pt>
                      <c:pt idx="28">
                        <c:v>42675</c:v>
                      </c:pt>
                      <c:pt idx="29">
                        <c:v>42705</c:v>
                      </c:pt>
                      <c:pt idx="30">
                        <c:v>42736</c:v>
                      </c:pt>
                      <c:pt idx="31">
                        <c:v>42767</c:v>
                      </c:pt>
                      <c:pt idx="32">
                        <c:v>42795</c:v>
                      </c:pt>
                      <c:pt idx="33">
                        <c:v>42826</c:v>
                      </c:pt>
                      <c:pt idx="34">
                        <c:v>42856</c:v>
                      </c:pt>
                      <c:pt idx="35">
                        <c:v>42887</c:v>
                      </c:pt>
                      <c:pt idx="36">
                        <c:v>42917</c:v>
                      </c:pt>
                      <c:pt idx="37">
                        <c:v>42948</c:v>
                      </c:pt>
                      <c:pt idx="38">
                        <c:v>42979</c:v>
                      </c:pt>
                      <c:pt idx="39">
                        <c:v>43009</c:v>
                      </c:pt>
                      <c:pt idx="40">
                        <c:v>43040</c:v>
                      </c:pt>
                      <c:pt idx="41">
                        <c:v>43070</c:v>
                      </c:pt>
                      <c:pt idx="42">
                        <c:v>43101</c:v>
                      </c:pt>
                      <c:pt idx="43">
                        <c:v>43132</c:v>
                      </c:pt>
                      <c:pt idx="44">
                        <c:v>43160</c:v>
                      </c:pt>
                      <c:pt idx="45">
                        <c:v>43191</c:v>
                      </c:pt>
                      <c:pt idx="46">
                        <c:v>43221</c:v>
                      </c:pt>
                      <c:pt idx="47">
                        <c:v>43252</c:v>
                      </c:pt>
                      <c:pt idx="48">
                        <c:v>43282</c:v>
                      </c:pt>
                      <c:pt idx="49">
                        <c:v>43313</c:v>
                      </c:pt>
                      <c:pt idx="50">
                        <c:v>43344</c:v>
                      </c:pt>
                      <c:pt idx="51">
                        <c:v>43374</c:v>
                      </c:pt>
                      <c:pt idx="52">
                        <c:v>43405</c:v>
                      </c:pt>
                      <c:pt idx="53">
                        <c:v>43435</c:v>
                      </c:pt>
                      <c:pt idx="54">
                        <c:v>43466</c:v>
                      </c:pt>
                      <c:pt idx="55">
                        <c:v>43497</c:v>
                      </c:pt>
                      <c:pt idx="56">
                        <c:v>43525</c:v>
                      </c:pt>
                      <c:pt idx="57">
                        <c:v>43556</c:v>
                      </c:pt>
                      <c:pt idx="58">
                        <c:v>43586</c:v>
                      </c:pt>
                      <c:pt idx="59">
                        <c:v>43617</c:v>
                      </c:pt>
                      <c:pt idx="60">
                        <c:v>43647</c:v>
                      </c:pt>
                      <c:pt idx="61">
                        <c:v>43678</c:v>
                      </c:pt>
                      <c:pt idx="62">
                        <c:v>43709</c:v>
                      </c:pt>
                      <c:pt idx="63">
                        <c:v>43739</c:v>
                      </c:pt>
                      <c:pt idx="64">
                        <c:v>43770</c:v>
                      </c:pt>
                      <c:pt idx="65">
                        <c:v>43800</c:v>
                      </c:pt>
                      <c:pt idx="66">
                        <c:v>43831</c:v>
                      </c:pt>
                      <c:pt idx="67">
                        <c:v>43862</c:v>
                      </c:pt>
                      <c:pt idx="68">
                        <c:v>43891</c:v>
                      </c:pt>
                      <c:pt idx="69">
                        <c:v>43922</c:v>
                      </c:pt>
                      <c:pt idx="70">
                        <c:v>43952</c:v>
                      </c:pt>
                      <c:pt idx="71">
                        <c:v>43983</c:v>
                      </c:pt>
                      <c:pt idx="72">
                        <c:v>44013</c:v>
                      </c:pt>
                      <c:pt idx="73">
                        <c:v>44044</c:v>
                      </c:pt>
                      <c:pt idx="74">
                        <c:v>44075</c:v>
                      </c:pt>
                      <c:pt idx="75">
                        <c:v>44105</c:v>
                      </c:pt>
                      <c:pt idx="76">
                        <c:v>44136</c:v>
                      </c:pt>
                      <c:pt idx="77">
                        <c:v>44166</c:v>
                      </c:pt>
                      <c:pt idx="78">
                        <c:v>44197</c:v>
                      </c:pt>
                      <c:pt idx="79">
                        <c:v>44228</c:v>
                      </c:pt>
                      <c:pt idx="80">
                        <c:v>44256</c:v>
                      </c:pt>
                      <c:pt idx="81">
                        <c:v>44287</c:v>
                      </c:pt>
                      <c:pt idx="82">
                        <c:v>44317</c:v>
                      </c:pt>
                      <c:pt idx="83">
                        <c:v>44348</c:v>
                      </c:pt>
                      <c:pt idx="84">
                        <c:v>44378</c:v>
                      </c:pt>
                      <c:pt idx="85">
                        <c:v>44409</c:v>
                      </c:pt>
                      <c:pt idx="86">
                        <c:v>44440</c:v>
                      </c:pt>
                      <c:pt idx="87">
                        <c:v>44470</c:v>
                      </c:pt>
                      <c:pt idx="88">
                        <c:v>44501</c:v>
                      </c:pt>
                      <c:pt idx="89">
                        <c:v>44531</c:v>
                      </c:pt>
                      <c:pt idx="90">
                        <c:v>44562</c:v>
                      </c:pt>
                      <c:pt idx="91">
                        <c:v>44593</c:v>
                      </c:pt>
                      <c:pt idx="92">
                        <c:v>44621</c:v>
                      </c:pt>
                      <c:pt idx="93">
                        <c:v>44652</c:v>
                      </c:pt>
                      <c:pt idx="94">
                        <c:v>44682</c:v>
                      </c:pt>
                      <c:pt idx="95">
                        <c:v>44713</c:v>
                      </c:pt>
                      <c:pt idx="96">
                        <c:v>44743</c:v>
                      </c:pt>
                      <c:pt idx="97">
                        <c:v>44774</c:v>
                      </c:pt>
                      <c:pt idx="98">
                        <c:v>44805</c:v>
                      </c:pt>
                      <c:pt idx="99">
                        <c:v>44835</c:v>
                      </c:pt>
                      <c:pt idx="100">
                        <c:v>44866</c:v>
                      </c:pt>
                      <c:pt idx="101">
                        <c:v>44896</c:v>
                      </c:pt>
                      <c:pt idx="102">
                        <c:v>44927</c:v>
                      </c:pt>
                      <c:pt idx="103">
                        <c:v>44958</c:v>
                      </c:pt>
                      <c:pt idx="104">
                        <c:v>44986</c:v>
                      </c:pt>
                      <c:pt idx="105">
                        <c:v>45017</c:v>
                      </c:pt>
                      <c:pt idx="106">
                        <c:v>45047</c:v>
                      </c:pt>
                      <c:pt idx="107">
                        <c:v>45078</c:v>
                      </c:pt>
                      <c:pt idx="108">
                        <c:v>45108</c:v>
                      </c:pt>
                      <c:pt idx="109">
                        <c:v>45139</c:v>
                      </c:pt>
                      <c:pt idx="110">
                        <c:v>45170</c:v>
                      </c:pt>
                      <c:pt idx="111">
                        <c:v>45200</c:v>
                      </c:pt>
                      <c:pt idx="112">
                        <c:v>45231</c:v>
                      </c:pt>
                      <c:pt idx="113">
                        <c:v>45261</c:v>
                      </c:pt>
                      <c:pt idx="114">
                        <c:v>45292</c:v>
                      </c:pt>
                      <c:pt idx="115">
                        <c:v>45323</c:v>
                      </c:pt>
                      <c:pt idx="116">
                        <c:v>45352</c:v>
                      </c:pt>
                      <c:pt idx="117">
                        <c:v>45383</c:v>
                      </c:pt>
                      <c:pt idx="118">
                        <c:v>45413</c:v>
                      </c:pt>
                      <c:pt idx="119">
                        <c:v>45444</c:v>
                      </c:pt>
                      <c:pt idx="120">
                        <c:v>45468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'[1]Week 7 Answer Sheet'!$C$2:$C$122</c15:sqref>
                        </c15:formulaRef>
                      </c:ext>
                    </c:extLst>
                    <c:numCache>
                      <c:formatCode>m/d/yyyy</c:formatCode>
                      <c:ptCount val="121"/>
                      <c:pt idx="0">
                        <c:v>41821</c:v>
                      </c:pt>
                      <c:pt idx="1">
                        <c:v>41852</c:v>
                      </c:pt>
                      <c:pt idx="2">
                        <c:v>41883</c:v>
                      </c:pt>
                      <c:pt idx="3">
                        <c:v>41913</c:v>
                      </c:pt>
                      <c:pt idx="4">
                        <c:v>41944</c:v>
                      </c:pt>
                      <c:pt idx="5">
                        <c:v>41974</c:v>
                      </c:pt>
                      <c:pt idx="6">
                        <c:v>42005</c:v>
                      </c:pt>
                      <c:pt idx="7">
                        <c:v>42036</c:v>
                      </c:pt>
                      <c:pt idx="8">
                        <c:v>42064</c:v>
                      </c:pt>
                      <c:pt idx="9">
                        <c:v>42095</c:v>
                      </c:pt>
                      <c:pt idx="10">
                        <c:v>42125</c:v>
                      </c:pt>
                      <c:pt idx="11">
                        <c:v>42156</c:v>
                      </c:pt>
                      <c:pt idx="12">
                        <c:v>42186</c:v>
                      </c:pt>
                      <c:pt idx="13">
                        <c:v>42217</c:v>
                      </c:pt>
                      <c:pt idx="14">
                        <c:v>42248</c:v>
                      </c:pt>
                      <c:pt idx="15">
                        <c:v>42278</c:v>
                      </c:pt>
                      <c:pt idx="16">
                        <c:v>42309</c:v>
                      </c:pt>
                      <c:pt idx="17">
                        <c:v>42339</c:v>
                      </c:pt>
                      <c:pt idx="18">
                        <c:v>42370</c:v>
                      </c:pt>
                      <c:pt idx="19">
                        <c:v>42401</c:v>
                      </c:pt>
                      <c:pt idx="20">
                        <c:v>42430</c:v>
                      </c:pt>
                      <c:pt idx="21">
                        <c:v>42461</c:v>
                      </c:pt>
                      <c:pt idx="22">
                        <c:v>42491</c:v>
                      </c:pt>
                      <c:pt idx="23">
                        <c:v>42522</c:v>
                      </c:pt>
                      <c:pt idx="24">
                        <c:v>42552</c:v>
                      </c:pt>
                      <c:pt idx="25">
                        <c:v>42583</c:v>
                      </c:pt>
                      <c:pt idx="26">
                        <c:v>42614</c:v>
                      </c:pt>
                      <c:pt idx="27">
                        <c:v>42644</c:v>
                      </c:pt>
                      <c:pt idx="28">
                        <c:v>42675</c:v>
                      </c:pt>
                      <c:pt idx="29">
                        <c:v>42705</c:v>
                      </c:pt>
                      <c:pt idx="30">
                        <c:v>42736</c:v>
                      </c:pt>
                      <c:pt idx="31">
                        <c:v>42767</c:v>
                      </c:pt>
                      <c:pt idx="32">
                        <c:v>42795</c:v>
                      </c:pt>
                      <c:pt idx="33">
                        <c:v>42826</c:v>
                      </c:pt>
                      <c:pt idx="34">
                        <c:v>42856</c:v>
                      </c:pt>
                      <c:pt idx="35">
                        <c:v>42887</c:v>
                      </c:pt>
                      <c:pt idx="36">
                        <c:v>42917</c:v>
                      </c:pt>
                      <c:pt idx="37">
                        <c:v>42948</c:v>
                      </c:pt>
                      <c:pt idx="38">
                        <c:v>42979</c:v>
                      </c:pt>
                      <c:pt idx="39">
                        <c:v>43009</c:v>
                      </c:pt>
                      <c:pt idx="40">
                        <c:v>43040</c:v>
                      </c:pt>
                      <c:pt idx="41">
                        <c:v>43070</c:v>
                      </c:pt>
                      <c:pt idx="42">
                        <c:v>43101</c:v>
                      </c:pt>
                      <c:pt idx="43">
                        <c:v>43132</c:v>
                      </c:pt>
                      <c:pt idx="44">
                        <c:v>43160</c:v>
                      </c:pt>
                      <c:pt idx="45">
                        <c:v>43191</c:v>
                      </c:pt>
                      <c:pt idx="46">
                        <c:v>43221</c:v>
                      </c:pt>
                      <c:pt idx="47">
                        <c:v>43252</c:v>
                      </c:pt>
                      <c:pt idx="48">
                        <c:v>43282</c:v>
                      </c:pt>
                      <c:pt idx="49">
                        <c:v>43313</c:v>
                      </c:pt>
                      <c:pt idx="50">
                        <c:v>43344</c:v>
                      </c:pt>
                      <c:pt idx="51">
                        <c:v>43374</c:v>
                      </c:pt>
                      <c:pt idx="52">
                        <c:v>43405</c:v>
                      </c:pt>
                      <c:pt idx="53">
                        <c:v>43435</c:v>
                      </c:pt>
                      <c:pt idx="54">
                        <c:v>43466</c:v>
                      </c:pt>
                      <c:pt idx="55">
                        <c:v>43497</c:v>
                      </c:pt>
                      <c:pt idx="56">
                        <c:v>43525</c:v>
                      </c:pt>
                      <c:pt idx="57">
                        <c:v>43556</c:v>
                      </c:pt>
                      <c:pt idx="58">
                        <c:v>43586</c:v>
                      </c:pt>
                      <c:pt idx="59">
                        <c:v>43617</c:v>
                      </c:pt>
                      <c:pt idx="60">
                        <c:v>43647</c:v>
                      </c:pt>
                      <c:pt idx="61">
                        <c:v>43678</c:v>
                      </c:pt>
                      <c:pt idx="62">
                        <c:v>43709</c:v>
                      </c:pt>
                      <c:pt idx="63">
                        <c:v>43739</c:v>
                      </c:pt>
                      <c:pt idx="64">
                        <c:v>43770</c:v>
                      </c:pt>
                      <c:pt idx="65">
                        <c:v>43800</c:v>
                      </c:pt>
                      <c:pt idx="66">
                        <c:v>43831</c:v>
                      </c:pt>
                      <c:pt idx="67">
                        <c:v>43862</c:v>
                      </c:pt>
                      <c:pt idx="68">
                        <c:v>43891</c:v>
                      </c:pt>
                      <c:pt idx="69">
                        <c:v>43922</c:v>
                      </c:pt>
                      <c:pt idx="70">
                        <c:v>43952</c:v>
                      </c:pt>
                      <c:pt idx="71">
                        <c:v>43983</c:v>
                      </c:pt>
                      <c:pt idx="72">
                        <c:v>44013</c:v>
                      </c:pt>
                      <c:pt idx="73">
                        <c:v>44044</c:v>
                      </c:pt>
                      <c:pt idx="74">
                        <c:v>44075</c:v>
                      </c:pt>
                      <c:pt idx="75">
                        <c:v>44105</c:v>
                      </c:pt>
                      <c:pt idx="76">
                        <c:v>44136</c:v>
                      </c:pt>
                      <c:pt idx="77">
                        <c:v>44166</c:v>
                      </c:pt>
                      <c:pt idx="78">
                        <c:v>44197</c:v>
                      </c:pt>
                      <c:pt idx="79">
                        <c:v>44228</c:v>
                      </c:pt>
                      <c:pt idx="80">
                        <c:v>44256</c:v>
                      </c:pt>
                      <c:pt idx="81">
                        <c:v>44287</c:v>
                      </c:pt>
                      <c:pt idx="82">
                        <c:v>44317</c:v>
                      </c:pt>
                      <c:pt idx="83">
                        <c:v>44348</c:v>
                      </c:pt>
                      <c:pt idx="84">
                        <c:v>44378</c:v>
                      </c:pt>
                      <c:pt idx="85">
                        <c:v>44409</c:v>
                      </c:pt>
                      <c:pt idx="86">
                        <c:v>44440</c:v>
                      </c:pt>
                      <c:pt idx="87">
                        <c:v>44470</c:v>
                      </c:pt>
                      <c:pt idx="88">
                        <c:v>44501</c:v>
                      </c:pt>
                      <c:pt idx="89">
                        <c:v>44531</c:v>
                      </c:pt>
                      <c:pt idx="90">
                        <c:v>44562</c:v>
                      </c:pt>
                      <c:pt idx="91">
                        <c:v>44593</c:v>
                      </c:pt>
                      <c:pt idx="92">
                        <c:v>44621</c:v>
                      </c:pt>
                      <c:pt idx="93">
                        <c:v>44652</c:v>
                      </c:pt>
                      <c:pt idx="94">
                        <c:v>44682</c:v>
                      </c:pt>
                      <c:pt idx="95">
                        <c:v>44713</c:v>
                      </c:pt>
                      <c:pt idx="96">
                        <c:v>44743</c:v>
                      </c:pt>
                      <c:pt idx="97">
                        <c:v>44774</c:v>
                      </c:pt>
                      <c:pt idx="98">
                        <c:v>44805</c:v>
                      </c:pt>
                      <c:pt idx="99">
                        <c:v>44835</c:v>
                      </c:pt>
                      <c:pt idx="100">
                        <c:v>44866</c:v>
                      </c:pt>
                      <c:pt idx="101">
                        <c:v>44896</c:v>
                      </c:pt>
                      <c:pt idx="102">
                        <c:v>44927</c:v>
                      </c:pt>
                      <c:pt idx="103">
                        <c:v>44958</c:v>
                      </c:pt>
                      <c:pt idx="104">
                        <c:v>44986</c:v>
                      </c:pt>
                      <c:pt idx="105">
                        <c:v>45017</c:v>
                      </c:pt>
                      <c:pt idx="106">
                        <c:v>45047</c:v>
                      </c:pt>
                      <c:pt idx="107">
                        <c:v>45078</c:v>
                      </c:pt>
                      <c:pt idx="108">
                        <c:v>45108</c:v>
                      </c:pt>
                      <c:pt idx="109">
                        <c:v>45139</c:v>
                      </c:pt>
                      <c:pt idx="110">
                        <c:v>45170</c:v>
                      </c:pt>
                      <c:pt idx="111">
                        <c:v>45200</c:v>
                      </c:pt>
                      <c:pt idx="112">
                        <c:v>45231</c:v>
                      </c:pt>
                      <c:pt idx="113">
                        <c:v>45261</c:v>
                      </c:pt>
                      <c:pt idx="114">
                        <c:v>45292</c:v>
                      </c:pt>
                      <c:pt idx="115">
                        <c:v>45323</c:v>
                      </c:pt>
                      <c:pt idx="116">
                        <c:v>45352</c:v>
                      </c:pt>
                      <c:pt idx="117">
                        <c:v>45383</c:v>
                      </c:pt>
                      <c:pt idx="118">
                        <c:v>45413</c:v>
                      </c:pt>
                      <c:pt idx="119">
                        <c:v>45444</c:v>
                      </c:pt>
                      <c:pt idx="120">
                        <c:v>45468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DFF-4F2A-B068-161B360C56FD}"/>
                  </c:ext>
                </c:extLst>
              </c15:ser>
            </c15:filteredLineSeries>
          </c:ext>
        </c:extLst>
      </c:lineChart>
      <c:dateAx>
        <c:axId val="1298950191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66031"/>
        <c:crosses val="autoZero"/>
        <c:auto val="1"/>
        <c:lblOffset val="100"/>
        <c:baseTimeUnit val="days"/>
      </c:dateAx>
      <c:valAx>
        <c:axId val="12989660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5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238125</xdr:colOff>
      <xdr:row>29</xdr:row>
      <xdr:rowOff>0</xdr:rowOff>
    </xdr:from>
    <xdr:to>
      <xdr:col>30</xdr:col>
      <xdr:colOff>538246</xdr:colOff>
      <xdr:row>42</xdr:row>
      <xdr:rowOff>180586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6FA4D1-1CA3-49AA-8902-A755DD614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219075</xdr:colOff>
      <xdr:row>43</xdr:row>
      <xdr:rowOff>103829</xdr:rowOff>
    </xdr:from>
    <xdr:to>
      <xdr:col>30</xdr:col>
      <xdr:colOff>519196</xdr:colOff>
      <xdr:row>57</xdr:row>
      <xdr:rowOff>83330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61114F-582A-44B1-995C-1C3A80C9D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60325</xdr:colOff>
      <xdr:row>77</xdr:row>
      <xdr:rowOff>65840</xdr:rowOff>
    </xdr:from>
    <xdr:to>
      <xdr:col>32</xdr:col>
      <xdr:colOff>246425</xdr:colOff>
      <xdr:row>92</xdr:row>
      <xdr:rowOff>95696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EE86C0-A11E-46FA-B137-8268C976CB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59</xdr:row>
      <xdr:rowOff>82216</xdr:rowOff>
    </xdr:from>
    <xdr:to>
      <xdr:col>32</xdr:col>
      <xdr:colOff>148724</xdr:colOff>
      <xdr:row>75</xdr:row>
      <xdr:rowOff>44228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0A0A7A-8E1A-4FA4-804E-2CEAE8DDC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ttachments/statistic/Report%20by%20Azra.xlsx" TargetMode="External"/><Relationship Id="rId2" Type="http://schemas.openxmlformats.org/officeDocument/2006/relationships/externalLinkPath" Target="https://d.docs.live.net/765a82ebe2f91383/Attachments/statistic/Report%20by%20Azra.xlsx" TargetMode="External"/><Relationship Id="rId1" Type="http://schemas.openxmlformats.org/officeDocument/2006/relationships/externalLinkPath" Target="/765a82ebe2f91383/Attachments/statistic/Report%20by%20Az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ile "/>
      <sheetName val="Week 1 - Descriptive Statistics"/>
      <sheetName val="Week 1 Answer Sheet"/>
      <sheetName val="Week 2 - Probabilities"/>
      <sheetName val="Week 2 Answer Sheet"/>
      <sheetName val="Week 3 - Confidence Intervals"/>
      <sheetName val="Week 3 Answer Sheet"/>
      <sheetName val="Week 4 - Hypothesis Testing"/>
      <sheetName val="Week 4 Answer Sheet "/>
      <sheetName val="Week 5 Multiple Tests"/>
      <sheetName val="ANOVA  Mean Income by School Ty"/>
      <sheetName val=" Gender vs Major"/>
      <sheetName val="School Type vs Gender"/>
      <sheetName val=" School Type vs Major"/>
      <sheetName val="ANOVA  Mean Income by Major"/>
      <sheetName val="Week 5 Answer Sheet"/>
      <sheetName val="Week 6 Regression"/>
      <sheetName val="AGE.INCOME"/>
      <sheetName val="EXP.INCOME"/>
      <sheetName val="IncVAge.Exp"/>
      <sheetName val="Week 6 Answer Sheet"/>
      <sheetName val="Week 7"/>
      <sheetName val="Week 7 Answer Sheet"/>
      <sheetName val="Week 8"/>
      <sheetName val="WEEK 8 Answer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C1" t="str">
            <v>Date</v>
          </cell>
          <cell r="D1" t="str">
            <v>Open</v>
          </cell>
          <cell r="G1" t="str">
            <v>Close</v>
          </cell>
          <cell r="K1" t="str">
            <v>MA(4)</v>
          </cell>
          <cell r="L1" t="str">
            <v>MA(10)</v>
          </cell>
          <cell r="M1" t="str">
            <v>High-Low Range</v>
          </cell>
          <cell r="N1" t="str">
            <v>Volatility (10-day)</v>
          </cell>
          <cell r="P1" t="str">
            <v xml:space="preserve">MA(12) </v>
          </cell>
          <cell r="Q1" t="str">
            <v>Forecast</v>
          </cell>
          <cell r="R1" t="str">
            <v>Simple Linear Regression Forecast</v>
          </cell>
        </row>
        <row r="2">
          <cell r="C2">
            <v>41821</v>
          </cell>
          <cell r="D2">
            <v>37.759998000000003</v>
          </cell>
          <cell r="G2">
            <v>36.220001000000003</v>
          </cell>
          <cell r="M2">
            <v>2.0700000000000003</v>
          </cell>
          <cell r="Q2">
            <v>38.085487028588084</v>
          </cell>
          <cell r="R2">
            <v>-17849.27289346376</v>
          </cell>
        </row>
        <row r="3">
          <cell r="C3">
            <v>41852</v>
          </cell>
          <cell r="D3">
            <v>36.139999000000003</v>
          </cell>
          <cell r="G3">
            <v>37.880001</v>
          </cell>
          <cell r="M3">
            <v>2.4199979999999996</v>
          </cell>
          <cell r="Q3">
            <v>36.493679647668564</v>
          </cell>
          <cell r="R3">
            <v>-17862.550447772748</v>
          </cell>
        </row>
        <row r="4">
          <cell r="C4">
            <v>41883</v>
          </cell>
          <cell r="D4">
            <v>37.729999999999997</v>
          </cell>
          <cell r="G4">
            <v>40.169998</v>
          </cell>
          <cell r="M4">
            <v>4.7100030000000004</v>
          </cell>
          <cell r="Q4">
            <v>38.056011061125858</v>
          </cell>
          <cell r="R4">
            <v>-17875.82800208174</v>
          </cell>
        </row>
        <row r="5">
          <cell r="C5">
            <v>41913</v>
          </cell>
          <cell r="D5">
            <v>40</v>
          </cell>
          <cell r="G5">
            <v>40.150002000000001</v>
          </cell>
          <cell r="M5">
            <v>7.4099990000000062</v>
          </cell>
          <cell r="Q5">
            <v>40.28650796556056</v>
          </cell>
          <cell r="R5">
            <v>-17888.677248187214</v>
          </cell>
        </row>
        <row r="6">
          <cell r="C6">
            <v>41944</v>
          </cell>
          <cell r="D6">
            <v>40.150002000000001</v>
          </cell>
          <cell r="G6">
            <v>44.16</v>
          </cell>
          <cell r="K6">
            <v>39.716000399999999</v>
          </cell>
          <cell r="M6">
            <v>4.8299980000000033</v>
          </cell>
          <cell r="Q6">
            <v>40.433899594044703</v>
          </cell>
          <cell r="R6">
            <v>-17901.954802496202</v>
          </cell>
        </row>
        <row r="7">
          <cell r="C7">
            <v>41974</v>
          </cell>
          <cell r="D7">
            <v>43.75</v>
          </cell>
          <cell r="G7">
            <v>45.330002</v>
          </cell>
          <cell r="K7">
            <v>41.538000600000004</v>
          </cell>
          <cell r="M7">
            <v>4.4500000000000028</v>
          </cell>
          <cell r="Q7">
            <v>43.971249547776466</v>
          </cell>
          <cell r="R7">
            <v>-17914.804048601676</v>
          </cell>
        </row>
        <row r="8">
          <cell r="C8">
            <v>42005</v>
          </cell>
          <cell r="D8">
            <v>45.91</v>
          </cell>
          <cell r="G8">
            <v>43.959999000000003</v>
          </cell>
          <cell r="K8">
            <v>42.7540002</v>
          </cell>
          <cell r="M8">
            <v>3.6099969999999999</v>
          </cell>
          <cell r="Q8">
            <v>46.093660699132819</v>
          </cell>
          <cell r="R8">
            <v>-17928.081602910665</v>
          </cell>
        </row>
        <row r="9">
          <cell r="C9">
            <v>42036</v>
          </cell>
          <cell r="D9">
            <v>43.82</v>
          </cell>
          <cell r="G9">
            <v>43.990001999999997</v>
          </cell>
          <cell r="K9">
            <v>43.518001000000005</v>
          </cell>
          <cell r="M9">
            <v>2.2200019999999938</v>
          </cell>
          <cell r="Q9">
            <v>44.040031390644494</v>
          </cell>
          <cell r="R9">
            <v>-17941.359157219653</v>
          </cell>
        </row>
        <row r="10">
          <cell r="C10">
            <v>42064</v>
          </cell>
          <cell r="D10">
            <v>44.029998999999997</v>
          </cell>
          <cell r="G10">
            <v>47.84</v>
          </cell>
          <cell r="K10">
            <v>45.056000600000004</v>
          </cell>
          <cell r="M10">
            <v>4.3400000000000034</v>
          </cell>
          <cell r="Q10">
            <v>44.246375936650828</v>
          </cell>
          <cell r="R10">
            <v>-17953.351786918094</v>
          </cell>
        </row>
        <row r="11">
          <cell r="C11">
            <v>42095</v>
          </cell>
          <cell r="D11">
            <v>47.810001</v>
          </cell>
          <cell r="G11">
            <v>43.970001000000003</v>
          </cell>
          <cell r="K11">
            <v>45.018000799999996</v>
          </cell>
          <cell r="L11">
            <v>42.367000600000004</v>
          </cell>
          <cell r="M11">
            <v>5.5200000000000031</v>
          </cell>
          <cell r="N11">
            <v>3.6109402748378803</v>
          </cell>
          <cell r="P11">
            <v>43.282500583333338</v>
          </cell>
          <cell r="Q11">
            <v>47.96059741671997</v>
          </cell>
          <cell r="R11">
            <v>-17966.629341227086</v>
          </cell>
        </row>
        <row r="12">
          <cell r="C12">
            <v>42125</v>
          </cell>
          <cell r="D12">
            <v>43.880001</v>
          </cell>
          <cell r="G12">
            <v>46.330002</v>
          </cell>
          <cell r="K12">
            <v>45.218000800000006</v>
          </cell>
          <cell r="L12">
            <v>43.378000700000001</v>
          </cell>
          <cell r="M12">
            <v>5.4600030000000004</v>
          </cell>
          <cell r="N12">
            <v>3.074059404616821</v>
          </cell>
          <cell r="P12">
            <v>44.705000583333337</v>
          </cell>
          <cell r="Q12">
            <v>44.098988238557702</v>
          </cell>
          <cell r="R12">
            <v>-17979.47858733256</v>
          </cell>
        </row>
        <row r="13">
          <cell r="C13">
            <v>42156</v>
          </cell>
          <cell r="D13">
            <v>46.490001999999997</v>
          </cell>
          <cell r="G13">
            <v>49.389999000000003</v>
          </cell>
          <cell r="K13">
            <v>46.304000800000004</v>
          </cell>
          <cell r="L13">
            <v>44.529000500000002</v>
          </cell>
          <cell r="M13">
            <v>4.75</v>
          </cell>
          <cell r="N13">
            <v>2.938568972779108</v>
          </cell>
          <cell r="P13">
            <v>45.650833833333337</v>
          </cell>
          <cell r="Q13">
            <v>46.663569362377721</v>
          </cell>
          <cell r="R13">
            <v>-17992.756141641548</v>
          </cell>
        </row>
        <row r="14">
          <cell r="C14">
            <v>42186</v>
          </cell>
          <cell r="D14">
            <v>49.91</v>
          </cell>
          <cell r="G14">
            <v>53.290000999999997</v>
          </cell>
          <cell r="K14">
            <v>48.164000600000001</v>
          </cell>
          <cell r="L14">
            <v>45.841000800000003</v>
          </cell>
          <cell r="M14">
            <v>5.4799989999999994</v>
          </cell>
          <cell r="N14">
            <v>3.6248749796680895</v>
          </cell>
          <cell r="P14">
            <v>46.445000750000013</v>
          </cell>
          <cell r="Q14">
            <v>50.024051720163122</v>
          </cell>
          <cell r="R14">
            <v>-18005.605387747022</v>
          </cell>
        </row>
        <row r="15">
          <cell r="C15">
            <v>42217</v>
          </cell>
          <cell r="D15">
            <v>53.150002000000001</v>
          </cell>
          <cell r="G15">
            <v>49.23</v>
          </cell>
          <cell r="K15">
            <v>48.442000599999993</v>
          </cell>
          <cell r="L15">
            <v>46.749000600000002</v>
          </cell>
          <cell r="M15">
            <v>8.4599989999999963</v>
          </cell>
          <cell r="N15">
            <v>3.1466151025438318</v>
          </cell>
          <cell r="P15">
            <v>47.605834083333342</v>
          </cell>
          <cell r="Q15">
            <v>53.207670412393178</v>
          </cell>
          <cell r="R15">
            <v>-18018.882942056011</v>
          </cell>
        </row>
        <row r="16">
          <cell r="C16">
            <v>42248</v>
          </cell>
          <cell r="D16">
            <v>48.110000999999997</v>
          </cell>
          <cell r="G16">
            <v>49.700001</v>
          </cell>
          <cell r="K16">
            <v>49.588000600000001</v>
          </cell>
          <cell r="L16">
            <v>47.303000699999998</v>
          </cell>
          <cell r="M16">
            <v>6.120002999999997</v>
          </cell>
          <cell r="N16">
            <v>3.1277787215354969</v>
          </cell>
          <cell r="P16">
            <v>48.136667333333328</v>
          </cell>
          <cell r="Q16">
            <v>48.255376743297241</v>
          </cell>
          <cell r="R16">
            <v>-18032.160496364999</v>
          </cell>
        </row>
        <row r="17">
          <cell r="C17">
            <v>42278</v>
          </cell>
          <cell r="D17">
            <v>50.009998000000003</v>
          </cell>
          <cell r="G17">
            <v>54.080002</v>
          </cell>
          <cell r="K17">
            <v>51.138000600000005</v>
          </cell>
          <cell r="L17">
            <v>48.178000699999998</v>
          </cell>
          <cell r="M17">
            <v>6.3499980000000065</v>
          </cell>
          <cell r="N17">
            <v>3.6882059825583378</v>
          </cell>
          <cell r="P17">
            <v>48.899167166666672</v>
          </cell>
          <cell r="Q17">
            <v>50.122309530493375</v>
          </cell>
          <cell r="R17">
            <v>-18045.009742470473</v>
          </cell>
        </row>
        <row r="18">
          <cell r="C18">
            <v>42309</v>
          </cell>
          <cell r="D18">
            <v>54.290000999999997</v>
          </cell>
          <cell r="G18">
            <v>50.529998999999997</v>
          </cell>
          <cell r="K18">
            <v>51.366000599999992</v>
          </cell>
          <cell r="L18">
            <v>48.835000700000002</v>
          </cell>
          <cell r="M18">
            <v>4.8300010000000029</v>
          </cell>
          <cell r="N18">
            <v>3.4294417749510075</v>
          </cell>
          <cell r="P18">
            <v>49.246667333333335</v>
          </cell>
          <cell r="Q18">
            <v>54.32783087078905</v>
          </cell>
          <cell r="R18">
            <v>-18058.287296779465</v>
          </cell>
        </row>
        <row r="19">
          <cell r="C19">
            <v>42339</v>
          </cell>
          <cell r="D19">
            <v>51.130001</v>
          </cell>
          <cell r="G19">
            <v>54.48</v>
          </cell>
          <cell r="K19">
            <v>51.604000400000004</v>
          </cell>
          <cell r="L19">
            <v>49.884000499999999</v>
          </cell>
          <cell r="M19">
            <v>6.6199980000000025</v>
          </cell>
          <cell r="N19">
            <v>3.3868641162915551</v>
          </cell>
          <cell r="P19">
            <v>49.577500416666673</v>
          </cell>
          <cell r="Q19">
            <v>51.222821964175118</v>
          </cell>
          <cell r="R19">
            <v>-18071.136542884935</v>
          </cell>
        </row>
        <row r="20">
          <cell r="C20">
            <v>42370</v>
          </cell>
          <cell r="D20">
            <v>54.16</v>
          </cell>
          <cell r="G20">
            <v>48.130001</v>
          </cell>
          <cell r="K20">
            <v>51.3840006</v>
          </cell>
          <cell r="L20">
            <v>49.91300059999999</v>
          </cell>
          <cell r="M20">
            <v>9.0900010000000009</v>
          </cell>
          <cell r="N20">
            <v>3.3686100500554348</v>
          </cell>
          <cell r="P20">
            <v>49.988333749999988</v>
          </cell>
          <cell r="Q20">
            <v>54.200092180007815</v>
          </cell>
          <cell r="R20">
            <v>-18084.414097193927</v>
          </cell>
        </row>
        <row r="21">
          <cell r="C21">
            <v>42401</v>
          </cell>
          <cell r="D21">
            <v>48.099997999999999</v>
          </cell>
          <cell r="G21">
            <v>47.959999000000003</v>
          </cell>
          <cell r="K21">
            <v>51.036000200000004</v>
          </cell>
          <cell r="L21">
            <v>50.312000399999995</v>
          </cell>
          <cell r="M21">
            <v>8.6100009999999969</v>
          </cell>
          <cell r="N21">
            <v>2.7694918431608904</v>
          </cell>
          <cell r="P21">
            <v>50.411666916666661</v>
          </cell>
          <cell r="Q21">
            <v>48.245547817951405</v>
          </cell>
          <cell r="R21">
            <v>-18097.691651502915</v>
          </cell>
        </row>
        <row r="22">
          <cell r="C22">
            <v>42430</v>
          </cell>
          <cell r="D22">
            <v>48.59</v>
          </cell>
          <cell r="G22">
            <v>52.77</v>
          </cell>
          <cell r="K22">
            <v>50.773999799999999</v>
          </cell>
          <cell r="L22">
            <v>50.956000199999998</v>
          </cell>
          <cell r="M22">
            <v>7.3099970000000027</v>
          </cell>
          <cell r="N22">
            <v>2.4736131687160596</v>
          </cell>
          <cell r="P22">
            <v>50.529166916666668</v>
          </cell>
          <cell r="Q22">
            <v>48.727022683223126</v>
          </cell>
          <cell r="R22">
            <v>-18110.112589404871</v>
          </cell>
        </row>
        <row r="23">
          <cell r="C23">
            <v>42461</v>
          </cell>
          <cell r="D23">
            <v>52.200001</v>
          </cell>
          <cell r="G23">
            <v>49.049999</v>
          </cell>
          <cell r="K23">
            <v>50.477999799999999</v>
          </cell>
          <cell r="L23">
            <v>50.922000199999999</v>
          </cell>
          <cell r="M23">
            <v>5.0799980000000033</v>
          </cell>
          <cell r="N23">
            <v>2.4997284250718463</v>
          </cell>
          <cell r="P23">
            <v>50.09666708333333</v>
          </cell>
          <cell r="Q23">
            <v>52.274201562300725</v>
          </cell>
          <cell r="R23">
            <v>-18123.390143713863</v>
          </cell>
        </row>
        <row r="24">
          <cell r="C24">
            <v>42491</v>
          </cell>
          <cell r="D24">
            <v>49.330002</v>
          </cell>
          <cell r="G24">
            <v>47.740001999999997</v>
          </cell>
          <cell r="K24">
            <v>49.130000200000005</v>
          </cell>
          <cell r="L24">
            <v>50.367000300000001</v>
          </cell>
          <cell r="M24">
            <v>3.9900019999999969</v>
          </cell>
          <cell r="N24">
            <v>2.5314733447805997</v>
          </cell>
          <cell r="P24">
            <v>49.549167083333337</v>
          </cell>
          <cell r="Q24">
            <v>49.454146987309244</v>
          </cell>
          <cell r="R24">
            <v>-18136.239389819337</v>
          </cell>
        </row>
        <row r="25">
          <cell r="C25">
            <v>42522</v>
          </cell>
          <cell r="D25">
            <v>47.279998999999997</v>
          </cell>
          <cell r="G25">
            <v>44.200001</v>
          </cell>
          <cell r="K25">
            <v>48.344000200000004</v>
          </cell>
          <cell r="L25">
            <v>49.864000399999995</v>
          </cell>
          <cell r="M25">
            <v>7.0600009999999997</v>
          </cell>
          <cell r="N25">
            <v>3.1952088672471337</v>
          </cell>
          <cell r="P25">
            <v>49.430000333333332</v>
          </cell>
          <cell r="Q25">
            <v>47.439818641237942</v>
          </cell>
          <cell r="R25">
            <v>-18149.516944128325</v>
          </cell>
        </row>
        <row r="26">
          <cell r="C26">
            <v>42552</v>
          </cell>
          <cell r="D26">
            <v>44.720001000000003</v>
          </cell>
          <cell r="G26">
            <v>46.720001000000003</v>
          </cell>
          <cell r="K26">
            <v>48.096000599999996</v>
          </cell>
          <cell r="L26">
            <v>49.5660004</v>
          </cell>
          <cell r="M26">
            <v>4.3499989999999968</v>
          </cell>
          <cell r="N26">
            <v>3.3475369680476743</v>
          </cell>
          <cell r="P26">
            <v>49.356666916666676</v>
          </cell>
          <cell r="Q26">
            <v>44.924370352974066</v>
          </cell>
          <cell r="R26">
            <v>-18162.366190233799</v>
          </cell>
        </row>
        <row r="27">
          <cell r="C27">
            <v>42583</v>
          </cell>
          <cell r="D27">
            <v>46.580002</v>
          </cell>
          <cell r="G27">
            <v>47.799999</v>
          </cell>
          <cell r="K27">
            <v>47.102000399999994</v>
          </cell>
          <cell r="L27">
            <v>48.938000100000004</v>
          </cell>
          <cell r="M27">
            <v>2.9700019999999938</v>
          </cell>
          <cell r="N27">
            <v>2.9749461340410268</v>
          </cell>
          <cell r="P27">
            <v>48.941666583333337</v>
          </cell>
          <cell r="Q27">
            <v>46.75200316035091</v>
          </cell>
          <cell r="R27">
            <v>-18175.643744542787</v>
          </cell>
        </row>
        <row r="28">
          <cell r="C28">
            <v>42614</v>
          </cell>
          <cell r="D28">
            <v>48.049999</v>
          </cell>
          <cell r="G28">
            <v>48.82</v>
          </cell>
          <cell r="K28">
            <v>47.05600059999999</v>
          </cell>
          <cell r="L28">
            <v>48.767000199999998</v>
          </cell>
          <cell r="M28">
            <v>5.119999</v>
          </cell>
          <cell r="N28">
            <v>2.9219436904607328</v>
          </cell>
          <cell r="P28">
            <v>49.014999999999993</v>
          </cell>
          <cell r="Q28">
            <v>48.196418912786278</v>
          </cell>
          <cell r="R28">
            <v>-18188.921298851776</v>
          </cell>
        </row>
        <row r="29">
          <cell r="C29">
            <v>42644</v>
          </cell>
          <cell r="D29">
            <v>48.740001999999997</v>
          </cell>
          <cell r="G29">
            <v>49.099997999999999</v>
          </cell>
          <cell r="K29">
            <v>47.327999800000001</v>
          </cell>
          <cell r="L29">
            <v>48.229000000000006</v>
          </cell>
          <cell r="M29">
            <v>3.7200010000000034</v>
          </cell>
          <cell r="N29">
            <v>2.145223972767154</v>
          </cell>
          <cell r="P29">
            <v>48.813333416666673</v>
          </cell>
          <cell r="Q29">
            <v>48.87441431170727</v>
          </cell>
          <cell r="R29">
            <v>-18201.77054495725</v>
          </cell>
        </row>
        <row r="30">
          <cell r="C30">
            <v>42675</v>
          </cell>
          <cell r="D30">
            <v>49.09</v>
          </cell>
          <cell r="G30">
            <v>51.41</v>
          </cell>
          <cell r="K30">
            <v>48.769999599999998</v>
          </cell>
          <cell r="L30">
            <v>48.556999900000008</v>
          </cell>
          <cell r="M30">
            <v>5.3400000000000034</v>
          </cell>
          <cell r="N30">
            <v>2.3676287690902167</v>
          </cell>
          <cell r="P30">
            <v>49.417500083333344</v>
          </cell>
          <cell r="Q30">
            <v>49.218321560851912</v>
          </cell>
          <cell r="R30">
            <v>-18215.048099266241</v>
          </cell>
        </row>
        <row r="31">
          <cell r="C31">
            <v>42705</v>
          </cell>
          <cell r="D31">
            <v>50.849997999999999</v>
          </cell>
          <cell r="G31">
            <v>52.060001</v>
          </cell>
          <cell r="K31">
            <v>49.837999600000003</v>
          </cell>
          <cell r="L31">
            <v>48.967000099999993</v>
          </cell>
          <cell r="M31">
            <v>3.9399980000000028</v>
          </cell>
          <cell r="N31">
            <v>2.5966773402864263</v>
          </cell>
          <cell r="P31">
            <v>50.083333583333335</v>
          </cell>
          <cell r="Q31">
            <v>50.947691644909732</v>
          </cell>
          <cell r="R31">
            <v>-18227.897345371712</v>
          </cell>
        </row>
        <row r="32">
          <cell r="C32">
            <v>42736</v>
          </cell>
          <cell r="D32">
            <v>52.23</v>
          </cell>
          <cell r="G32">
            <v>55.380001</v>
          </cell>
          <cell r="K32">
            <v>51.353999999999999</v>
          </cell>
          <cell r="L32">
            <v>49.22800019999999</v>
          </cell>
          <cell r="M32">
            <v>6.0499989999999997</v>
          </cell>
          <cell r="N32">
            <v>3.1031732982010807</v>
          </cell>
          <cell r="P32">
            <v>50.595000249999991</v>
          </cell>
          <cell r="Q32">
            <v>52.30367851236069</v>
          </cell>
          <cell r="R32">
            <v>-18241.174899680704</v>
          </cell>
        </row>
        <row r="33">
          <cell r="C33">
            <v>42767</v>
          </cell>
          <cell r="D33">
            <v>55.27</v>
          </cell>
          <cell r="G33">
            <v>55.950001</v>
          </cell>
          <cell r="K33">
            <v>52.780000199999996</v>
          </cell>
          <cell r="L33">
            <v>49.918000399999997</v>
          </cell>
          <cell r="M33">
            <v>2.1799999999999997</v>
          </cell>
          <cell r="N33">
            <v>3.7573597147762681</v>
          </cell>
          <cell r="P33">
            <v>51.655000333333327</v>
          </cell>
          <cell r="Q33">
            <v>55.290775688343729</v>
          </cell>
          <cell r="R33">
            <v>-18254.452453989692</v>
          </cell>
        </row>
        <row r="34">
          <cell r="C34">
            <v>42795</v>
          </cell>
          <cell r="D34">
            <v>56.509998000000003</v>
          </cell>
          <cell r="G34">
            <v>58.91</v>
          </cell>
          <cell r="K34">
            <v>54.742000600000004</v>
          </cell>
          <cell r="L34">
            <v>51.035000199999999</v>
          </cell>
          <cell r="M34">
            <v>5.1700019999999967</v>
          </cell>
          <cell r="N34">
            <v>4.6030818478253064</v>
          </cell>
          <cell r="P34">
            <v>53.015833500000006</v>
          </cell>
          <cell r="Q34">
            <v>56.509194939667609</v>
          </cell>
          <cell r="R34">
            <v>-18266.445083688133</v>
          </cell>
        </row>
        <row r="35">
          <cell r="C35">
            <v>42826</v>
          </cell>
          <cell r="D35">
            <v>59</v>
          </cell>
          <cell r="G35">
            <v>61.77</v>
          </cell>
          <cell r="K35">
            <v>56.8140006</v>
          </cell>
          <cell r="L35">
            <v>52.792000099999996</v>
          </cell>
          <cell r="M35">
            <v>5.1100009999999969</v>
          </cell>
          <cell r="N35">
            <v>5.0370602387151804</v>
          </cell>
          <cell r="P35">
            <v>54.796666749999986</v>
          </cell>
          <cell r="Q35">
            <v>58.955865315454474</v>
          </cell>
          <cell r="R35">
            <v>-18279.722637997122</v>
          </cell>
        </row>
        <row r="36">
          <cell r="C36">
            <v>42856</v>
          </cell>
          <cell r="D36">
            <v>61.779998999999997</v>
          </cell>
          <cell r="G36">
            <v>64.069999999999993</v>
          </cell>
          <cell r="K36">
            <v>59.216000400000006</v>
          </cell>
          <cell r="L36">
            <v>54.527000000000001</v>
          </cell>
          <cell r="M36">
            <v>4.6500019999999935</v>
          </cell>
          <cell r="N36">
            <v>5.6624459259621478</v>
          </cell>
          <cell r="P36">
            <v>56.468333249999993</v>
          </cell>
          <cell r="Q36">
            <v>61.687486092472774</v>
          </cell>
          <cell r="R36">
            <v>-18292.571884102596</v>
          </cell>
        </row>
        <row r="37">
          <cell r="C37">
            <v>42887</v>
          </cell>
          <cell r="D37">
            <v>64.309997999999993</v>
          </cell>
          <cell r="G37">
            <v>65.569999999999993</v>
          </cell>
          <cell r="K37">
            <v>61.254000199999993</v>
          </cell>
          <cell r="L37">
            <v>56.304000099999996</v>
          </cell>
          <cell r="M37">
            <v>4.6300050000000041</v>
          </cell>
          <cell r="N37">
            <v>6.0890398602006428</v>
          </cell>
          <cell r="P37">
            <v>58.275000249999998</v>
          </cell>
          <cell r="Q37">
            <v>64.173457430676677</v>
          </cell>
          <cell r="R37">
            <v>-18305.849438411587</v>
          </cell>
        </row>
        <row r="38">
          <cell r="C38">
            <v>42917</v>
          </cell>
          <cell r="D38">
            <v>65.650002000000001</v>
          </cell>
          <cell r="G38">
            <v>66.779999000000004</v>
          </cell>
          <cell r="K38">
            <v>63.419999800000006</v>
          </cell>
          <cell r="L38">
            <v>58.099999999999987</v>
          </cell>
          <cell r="M38">
            <v>2.7300030000000106</v>
          </cell>
          <cell r="N38">
            <v>6.2819653402066296</v>
          </cell>
          <cell r="P38">
            <v>59.587500249999984</v>
          </cell>
          <cell r="Q38">
            <v>65.490142353112859</v>
          </cell>
          <cell r="R38">
            <v>-18318.698684517058</v>
          </cell>
        </row>
        <row r="39">
          <cell r="C39">
            <v>42948</v>
          </cell>
          <cell r="D39">
            <v>68.169998000000007</v>
          </cell>
          <cell r="G39">
            <v>69.480002999999996</v>
          </cell>
          <cell r="K39">
            <v>65.534000399999996</v>
          </cell>
          <cell r="L39">
            <v>60.138000499999997</v>
          </cell>
          <cell r="M39">
            <v>2.4900050000000107</v>
          </cell>
          <cell r="N39">
            <v>6.3433059092068813</v>
          </cell>
          <cell r="P39">
            <v>61.028333666666661</v>
          </cell>
          <cell r="Q39">
            <v>67.966284765970926</v>
          </cell>
          <cell r="R39">
            <v>-18331.97623882605</v>
          </cell>
        </row>
        <row r="40">
          <cell r="C40">
            <v>42979</v>
          </cell>
          <cell r="D40">
            <v>69.819999999999993</v>
          </cell>
          <cell r="G40">
            <v>64.569999999999993</v>
          </cell>
          <cell r="K40">
            <v>66.094000399999999</v>
          </cell>
          <cell r="L40">
            <v>61.454000500000006</v>
          </cell>
          <cell r="M40">
            <v>6.880001</v>
          </cell>
          <cell r="N40">
            <v>5.6596410914867725</v>
          </cell>
          <cell r="P40">
            <v>62.21416691666667</v>
          </cell>
          <cell r="Q40">
            <v>69.587573027341421</v>
          </cell>
          <cell r="R40">
            <v>-18345.253793135038</v>
          </cell>
        </row>
        <row r="41">
          <cell r="C41">
            <v>43009</v>
          </cell>
          <cell r="D41">
            <v>64.059997999999993</v>
          </cell>
          <cell r="G41">
            <v>66.389999000000003</v>
          </cell>
          <cell r="K41">
            <v>66.558000199999995</v>
          </cell>
          <cell r="L41">
            <v>62.887000299999997</v>
          </cell>
          <cell r="M41">
            <v>4.5999979999999994</v>
          </cell>
          <cell r="N41">
            <v>4.7593861167873328</v>
          </cell>
          <cell r="P41">
            <v>63.406667083333332</v>
          </cell>
          <cell r="Q41">
            <v>63.927807991862288</v>
          </cell>
          <cell r="R41">
            <v>-18358.103039240512</v>
          </cell>
        </row>
        <row r="42">
          <cell r="C42">
            <v>43040</v>
          </cell>
          <cell r="D42">
            <v>66.580001999999993</v>
          </cell>
          <cell r="G42">
            <v>65.639999000000003</v>
          </cell>
          <cell r="K42">
            <v>66.571999999999989</v>
          </cell>
          <cell r="L42">
            <v>63.913000099999998</v>
          </cell>
          <cell r="M42">
            <v>4.2099999999999937</v>
          </cell>
          <cell r="N42">
            <v>4.0078120012186877</v>
          </cell>
          <cell r="P42">
            <v>64.759167083333338</v>
          </cell>
          <cell r="Q42">
            <v>66.403958265502396</v>
          </cell>
          <cell r="R42">
            <v>-18371.3805935495</v>
          </cell>
        </row>
        <row r="43">
          <cell r="C43">
            <v>43070</v>
          </cell>
          <cell r="D43">
            <v>65.319999999999993</v>
          </cell>
          <cell r="G43">
            <v>66.370002999999997</v>
          </cell>
          <cell r="K43">
            <v>66.49000079999999</v>
          </cell>
          <cell r="L43">
            <v>64.955000300000009</v>
          </cell>
          <cell r="M43">
            <v>4.5</v>
          </cell>
          <cell r="N43">
            <v>2.9122896252112951</v>
          </cell>
          <cell r="P43">
            <v>65.672500666666664</v>
          </cell>
          <cell r="Q43">
            <v>65.165883128682339</v>
          </cell>
          <cell r="R43">
            <v>-18384.229839654974</v>
          </cell>
        </row>
        <row r="44">
          <cell r="C44">
            <v>43101</v>
          </cell>
          <cell r="D44">
            <v>67.220000999999996</v>
          </cell>
          <cell r="G44">
            <v>71.610000999999997</v>
          </cell>
          <cell r="K44">
            <v>66.916000400000001</v>
          </cell>
          <cell r="L44">
            <v>66.225000399999999</v>
          </cell>
          <cell r="M44">
            <v>6.75</v>
          </cell>
          <cell r="N44">
            <v>2.7477441434347631</v>
          </cell>
          <cell r="P44">
            <v>66.22833416666667</v>
          </cell>
          <cell r="Q44">
            <v>67.03281984626949</v>
          </cell>
          <cell r="R44">
            <v>-18397.507393963962</v>
          </cell>
        </row>
        <row r="45">
          <cell r="C45">
            <v>43132</v>
          </cell>
          <cell r="D45">
            <v>71.930000000000007</v>
          </cell>
          <cell r="G45">
            <v>66.910004000000001</v>
          </cell>
          <cell r="K45">
            <v>67.3840012</v>
          </cell>
          <cell r="L45">
            <v>66.739000799999999</v>
          </cell>
          <cell r="M45">
            <v>7.4899979999999999</v>
          </cell>
          <cell r="N45">
            <v>2.25908334792951</v>
          </cell>
          <cell r="P45">
            <v>66.335834250000005</v>
          </cell>
          <cell r="Q45">
            <v>71.660854290934921</v>
          </cell>
          <cell r="R45">
            <v>-18410.784948272954</v>
          </cell>
        </row>
        <row r="46">
          <cell r="C46">
            <v>43160</v>
          </cell>
          <cell r="D46">
            <v>66.610000999999997</v>
          </cell>
          <cell r="G46">
            <v>65.580001999999993</v>
          </cell>
          <cell r="K46">
            <v>67.222001800000001</v>
          </cell>
          <cell r="L46">
            <v>66.890000999999998</v>
          </cell>
          <cell r="M46">
            <v>4.8600009999999969</v>
          </cell>
          <cell r="N46">
            <v>2.1061502663504332</v>
          </cell>
          <cell r="P46">
            <v>66.186667499999984</v>
          </cell>
          <cell r="Q46">
            <v>66.433435215562369</v>
          </cell>
          <cell r="R46">
            <v>-18422.777577971396</v>
          </cell>
        </row>
        <row r="47">
          <cell r="C47">
            <v>43191</v>
          </cell>
          <cell r="D47">
            <v>65.680000000000007</v>
          </cell>
          <cell r="G47">
            <v>63.060001</v>
          </cell>
          <cell r="K47">
            <v>66.7060022</v>
          </cell>
          <cell r="L47">
            <v>66.639001100000002</v>
          </cell>
          <cell r="M47">
            <v>4.8600009999999969</v>
          </cell>
          <cell r="N47">
            <v>2.4087642835194538</v>
          </cell>
          <cell r="P47">
            <v>65.498334249999985</v>
          </cell>
          <cell r="Q47">
            <v>65.519618320575077</v>
          </cell>
          <cell r="R47">
            <v>-18436.055132280384</v>
          </cell>
        </row>
        <row r="48">
          <cell r="C48">
            <v>43221</v>
          </cell>
          <cell r="D48">
            <v>63.240001999999997</v>
          </cell>
          <cell r="G48">
            <v>62.279998999999997</v>
          </cell>
          <cell r="K48">
            <v>65.888001399999993</v>
          </cell>
          <cell r="L48">
            <v>66.189001100000013</v>
          </cell>
          <cell r="M48">
            <v>3.8600009999999969</v>
          </cell>
          <cell r="N48">
            <v>2.7723902094688957</v>
          </cell>
          <cell r="P48">
            <v>64.870001166666668</v>
          </cell>
          <cell r="Q48">
            <v>63.122081762942102</v>
          </cell>
          <cell r="R48">
            <v>-18448.904378385858</v>
          </cell>
        </row>
        <row r="49">
          <cell r="C49">
            <v>43252</v>
          </cell>
          <cell r="D49">
            <v>62.68</v>
          </cell>
          <cell r="G49">
            <v>57.310001</v>
          </cell>
          <cell r="K49">
            <v>63.028001399999994</v>
          </cell>
          <cell r="L49">
            <v>64.972000899999983</v>
          </cell>
          <cell r="M49">
            <v>8.6299970000000101</v>
          </cell>
          <cell r="N49">
            <v>3.6873715670895937</v>
          </cell>
          <cell r="P49">
            <v>64.204167749999996</v>
          </cell>
          <cell r="Q49">
            <v>62.571825054802353</v>
          </cell>
          <cell r="R49">
            <v>-18462.181932694846</v>
          </cell>
        </row>
        <row r="50">
          <cell r="C50">
            <v>43282</v>
          </cell>
          <cell r="D50">
            <v>56.830002</v>
          </cell>
          <cell r="G50">
            <v>59.240001999999997</v>
          </cell>
          <cell r="K50">
            <v>61.49400099999999</v>
          </cell>
          <cell r="L50">
            <v>64.439001099999999</v>
          </cell>
          <cell r="M50">
            <v>3.3299979999999962</v>
          </cell>
          <cell r="N50">
            <v>4.1126323073891209</v>
          </cell>
          <cell r="P50">
            <v>64.137501083333333</v>
          </cell>
          <cell r="Q50">
            <v>56.82363015174105</v>
          </cell>
          <cell r="R50">
            <v>-18475.03117880032</v>
          </cell>
        </row>
        <row r="51">
          <cell r="C51">
            <v>43313</v>
          </cell>
          <cell r="D51">
            <v>59.16</v>
          </cell>
          <cell r="G51">
            <v>61.490001999999997</v>
          </cell>
          <cell r="K51">
            <v>60.676000999999999</v>
          </cell>
          <cell r="L51">
            <v>63.9490014</v>
          </cell>
          <cell r="M51">
            <v>5.3099979999999931</v>
          </cell>
          <cell r="N51">
            <v>4.1461214310354411</v>
          </cell>
          <cell r="P51">
            <v>63.275001249999995</v>
          </cell>
          <cell r="Q51">
            <v>59.113080956295683</v>
          </cell>
          <cell r="R51">
            <v>-18488.308733109308</v>
          </cell>
        </row>
        <row r="52">
          <cell r="C52">
            <v>43344</v>
          </cell>
          <cell r="D52">
            <v>61.209999000000003</v>
          </cell>
          <cell r="G52">
            <v>63.77</v>
          </cell>
          <cell r="K52">
            <v>60.818000800000007</v>
          </cell>
          <cell r="L52">
            <v>63.762001499999997</v>
          </cell>
          <cell r="M52">
            <v>6.9300040000000038</v>
          </cell>
          <cell r="N52">
            <v>4.1033290722969813</v>
          </cell>
          <cell r="P52">
            <v>62.829168083333322</v>
          </cell>
          <cell r="Q52">
            <v>61.127405371975968</v>
          </cell>
          <cell r="R52">
            <v>-18501.5862874183</v>
          </cell>
        </row>
        <row r="53">
          <cell r="C53">
            <v>43374</v>
          </cell>
          <cell r="D53">
            <v>63.720001000000003</v>
          </cell>
          <cell r="G53">
            <v>56.040000999999997</v>
          </cell>
          <cell r="K53">
            <v>59.5700012</v>
          </cell>
          <cell r="L53">
            <v>62.729001299999993</v>
          </cell>
          <cell r="M53">
            <v>11.299996</v>
          </cell>
          <cell r="N53">
            <v>4.6391152298928731</v>
          </cell>
          <cell r="P53">
            <v>61.40666774999999</v>
          </cell>
          <cell r="Q53">
            <v>63.593727702867987</v>
          </cell>
          <cell r="R53">
            <v>-18514.435533523774</v>
          </cell>
        </row>
        <row r="54">
          <cell r="C54">
            <v>43405</v>
          </cell>
          <cell r="D54">
            <v>56.389999000000003</v>
          </cell>
          <cell r="G54">
            <v>60.290000999999997</v>
          </cell>
          <cell r="K54">
            <v>60.166001199999997</v>
          </cell>
          <cell r="L54">
            <v>61.597001299999988</v>
          </cell>
          <cell r="M54">
            <v>6.4000010000000032</v>
          </cell>
          <cell r="N54">
            <v>3.4633772508928033</v>
          </cell>
          <cell r="P54">
            <v>60.237501166666654</v>
          </cell>
          <cell r="Q54">
            <v>56.391284191634455</v>
          </cell>
          <cell r="R54">
            <v>-18527.713087832763</v>
          </cell>
        </row>
        <row r="55">
          <cell r="C55">
            <v>43435</v>
          </cell>
          <cell r="D55">
            <v>60.599997999999999</v>
          </cell>
          <cell r="G55">
            <v>49.299999</v>
          </cell>
          <cell r="K55">
            <v>58.178000599999997</v>
          </cell>
          <cell r="L55">
            <v>59.836000799999987</v>
          </cell>
          <cell r="M55">
            <v>15.670001999999997</v>
          </cell>
          <cell r="N55">
            <v>4.7132423152929395</v>
          </cell>
          <cell r="P55">
            <v>59.475000666666659</v>
          </cell>
          <cell r="Q55">
            <v>60.528019758671086</v>
          </cell>
          <cell r="R55">
            <v>-18540.562333938236</v>
          </cell>
        </row>
        <row r="56">
          <cell r="C56">
            <v>43466</v>
          </cell>
          <cell r="D56">
            <v>48.939999</v>
          </cell>
          <cell r="G56">
            <v>57.580002</v>
          </cell>
          <cell r="K56">
            <v>57.396000599999994</v>
          </cell>
          <cell r="L56">
            <v>59.036000799999997</v>
          </cell>
          <cell r="M56">
            <v>10.719996999999999</v>
          </cell>
          <cell r="N56">
            <v>4.2898829160921244</v>
          </cell>
          <cell r="P56">
            <v>58.236667250000004</v>
          </cell>
          <cell r="Q56">
            <v>49.070930914965523</v>
          </cell>
          <cell r="R56">
            <v>-18553.839888247225</v>
          </cell>
        </row>
        <row r="57">
          <cell r="C57">
            <v>43497</v>
          </cell>
          <cell r="D57">
            <v>57.549999</v>
          </cell>
          <cell r="G57">
            <v>57.759998000000003</v>
          </cell>
          <cell r="K57">
            <v>56.194000200000005</v>
          </cell>
          <cell r="L57">
            <v>58.506000500000006</v>
          </cell>
          <cell r="M57">
            <v>3.4099999999999966</v>
          </cell>
          <cell r="N57">
            <v>4.0586596208329455</v>
          </cell>
          <cell r="P57">
            <v>57.553333916666674</v>
          </cell>
          <cell r="Q57">
            <v>57.531097587733235</v>
          </cell>
          <cell r="R57">
            <v>-18567.117442556213</v>
          </cell>
        </row>
        <row r="58">
          <cell r="C58">
            <v>43525</v>
          </cell>
          <cell r="D58">
            <v>58.34</v>
          </cell>
          <cell r="G58">
            <v>50.720001000000003</v>
          </cell>
          <cell r="K58">
            <v>55.130000200000005</v>
          </cell>
          <cell r="L58">
            <v>57.35000070000001</v>
          </cell>
          <cell r="M58">
            <v>8.7700000000000031</v>
          </cell>
          <cell r="N58">
            <v>4.487882814622008</v>
          </cell>
          <cell r="P58">
            <v>56.629167250000002</v>
          </cell>
          <cell r="Q58">
            <v>58.30735079698448</v>
          </cell>
          <cell r="R58">
            <v>-18579.110072254654</v>
          </cell>
        </row>
        <row r="59">
          <cell r="C59">
            <v>43556</v>
          </cell>
          <cell r="D59">
            <v>51</v>
          </cell>
          <cell r="G59">
            <v>54.860000999999997</v>
          </cell>
          <cell r="K59">
            <v>54.044000199999992</v>
          </cell>
          <cell r="L59">
            <v>57.105000699999991</v>
          </cell>
          <cell r="M59">
            <v>4.3400000000000034</v>
          </cell>
          <cell r="N59">
            <v>4.5566566441003662</v>
          </cell>
          <cell r="P59">
            <v>55.73250041666666</v>
          </cell>
          <cell r="Q59">
            <v>51.095083273393882</v>
          </cell>
          <cell r="R59">
            <v>-18592.387626563646</v>
          </cell>
        </row>
        <row r="60">
          <cell r="C60">
            <v>43586</v>
          </cell>
          <cell r="D60">
            <v>55.599997999999999</v>
          </cell>
          <cell r="G60">
            <v>51.189999</v>
          </cell>
          <cell r="K60">
            <v>54.422000199999999</v>
          </cell>
          <cell r="L60">
            <v>56.300000400000002</v>
          </cell>
          <cell r="M60">
            <v>5.3199999999999932</v>
          </cell>
          <cell r="N60">
            <v>4.8398443234836979</v>
          </cell>
          <cell r="P60">
            <v>54.731666916666661</v>
          </cell>
          <cell r="Q60">
            <v>55.61503098238321</v>
          </cell>
          <cell r="R60">
            <v>-18605.23687266912</v>
          </cell>
        </row>
        <row r="61">
          <cell r="C61">
            <v>43617</v>
          </cell>
          <cell r="D61">
            <v>50.990001999999997</v>
          </cell>
          <cell r="G61">
            <v>46.549999</v>
          </cell>
          <cell r="K61">
            <v>52.215999599999996</v>
          </cell>
          <cell r="L61">
            <v>54.806000099999991</v>
          </cell>
          <cell r="M61">
            <v>9.1000029999999938</v>
          </cell>
          <cell r="N61">
            <v>5.3398177185702895</v>
          </cell>
          <cell r="P61">
            <v>53.280833583333333</v>
          </cell>
          <cell r="Q61">
            <v>51.085259261036811</v>
          </cell>
          <cell r="R61">
            <v>-18618.514426978109</v>
          </cell>
        </row>
        <row r="62">
          <cell r="C62">
            <v>43647</v>
          </cell>
          <cell r="D62">
            <v>46.759998000000003</v>
          </cell>
          <cell r="G62">
            <v>47.23</v>
          </cell>
          <cell r="K62">
            <v>50.11</v>
          </cell>
          <cell r="L62">
            <v>53.152000100000009</v>
          </cell>
          <cell r="M62">
            <v>2.8200000000000003</v>
          </cell>
          <cell r="N62">
            <v>4.7878109439610039</v>
          </cell>
          <cell r="P62">
            <v>51.609166833333347</v>
          </cell>
          <cell r="Q62">
            <v>46.928866825906255</v>
          </cell>
          <cell r="R62">
            <v>-18631.363673083582</v>
          </cell>
        </row>
        <row r="63">
          <cell r="C63">
            <v>43678</v>
          </cell>
          <cell r="D63">
            <v>47.09</v>
          </cell>
          <cell r="G63">
            <v>44.080002</v>
          </cell>
          <cell r="K63">
            <v>48.782000199999999</v>
          </cell>
          <cell r="L63">
            <v>51.956000200000005</v>
          </cell>
          <cell r="M63">
            <v>5.0400010000000037</v>
          </cell>
          <cell r="N63">
            <v>5.4361408435275678</v>
          </cell>
          <cell r="P63">
            <v>50.513333333333343</v>
          </cell>
          <cell r="Q63">
            <v>47.253126050336768</v>
          </cell>
          <cell r="R63">
            <v>-18644.641227392571</v>
          </cell>
        </row>
        <row r="64">
          <cell r="C64">
            <v>43709</v>
          </cell>
          <cell r="D64">
            <v>43.82</v>
          </cell>
          <cell r="G64">
            <v>43.709999000000003</v>
          </cell>
          <cell r="K64">
            <v>46.551999800000004</v>
          </cell>
          <cell r="L64">
            <v>50.297999999999995</v>
          </cell>
          <cell r="M64">
            <v>7.9500010000000003</v>
          </cell>
          <cell r="N64">
            <v>5.1317742790494121</v>
          </cell>
          <cell r="P64">
            <v>49.24583341666667</v>
          </cell>
          <cell r="Q64">
            <v>44.040031390644494</v>
          </cell>
          <cell r="R64">
            <v>-18657.918781701559</v>
          </cell>
        </row>
        <row r="65">
          <cell r="C65">
            <v>43739</v>
          </cell>
          <cell r="D65">
            <v>43.799999</v>
          </cell>
          <cell r="G65">
            <v>42.889999000000003</v>
          </cell>
          <cell r="K65">
            <v>44.891999800000008</v>
          </cell>
          <cell r="L65">
            <v>49.656999999999996</v>
          </cell>
          <cell r="M65">
            <v>4.9400029999999973</v>
          </cell>
          <cell r="N65">
            <v>5.6449547589961506</v>
          </cell>
          <cell r="P65">
            <v>49.373333666666667</v>
          </cell>
          <cell r="Q65">
            <v>44.020378452941586</v>
          </cell>
          <cell r="R65">
            <v>-18670.768027807033</v>
          </cell>
        </row>
        <row r="66">
          <cell r="C66">
            <v>43770</v>
          </cell>
          <cell r="D66">
            <v>43.23</v>
          </cell>
          <cell r="G66">
            <v>45.080002</v>
          </cell>
          <cell r="K66">
            <v>44.598000400000004</v>
          </cell>
          <cell r="L66">
            <v>48.406999999999996</v>
          </cell>
          <cell r="M66">
            <v>2.8899999999999935</v>
          </cell>
          <cell r="N66">
            <v>5.0479872565433661</v>
          </cell>
          <cell r="P66">
            <v>48.202500083333327</v>
          </cell>
          <cell r="Q66">
            <v>43.460298715042519</v>
          </cell>
          <cell r="R66">
            <v>-18684.045582116021</v>
          </cell>
        </row>
        <row r="67">
          <cell r="C67">
            <v>43800</v>
          </cell>
          <cell r="D67">
            <v>45.16</v>
          </cell>
          <cell r="G67">
            <v>50.830002</v>
          </cell>
          <cell r="K67">
            <v>45.318000800000007</v>
          </cell>
          <cell r="L67">
            <v>47.714000399999989</v>
          </cell>
          <cell r="M67">
            <v>8.4700019999999938</v>
          </cell>
          <cell r="N67">
            <v>3.9851036613872184</v>
          </cell>
          <cell r="P67">
            <v>46.177500166666668</v>
          </cell>
          <cell r="Q67">
            <v>45.356712382689636</v>
          </cell>
          <cell r="R67">
            <v>-18696.894828221495</v>
          </cell>
        </row>
        <row r="68">
          <cell r="C68">
            <v>43831</v>
          </cell>
          <cell r="D68">
            <v>51.349997999999999</v>
          </cell>
          <cell r="G68">
            <v>43.529998999999997</v>
          </cell>
          <cell r="K68">
            <v>45.208000200000001</v>
          </cell>
          <cell r="L68">
            <v>46.995000199999993</v>
          </cell>
          <cell r="M68">
            <v>8.7299999999999969</v>
          </cell>
          <cell r="N68">
            <v>4.0308487658724284</v>
          </cell>
          <cell r="P68">
            <v>43.048333416666658</v>
          </cell>
          <cell r="Q68">
            <v>51.438990522538518</v>
          </cell>
          <cell r="R68">
            <v>-18710.172382530487</v>
          </cell>
        </row>
        <row r="69">
          <cell r="C69">
            <v>43862</v>
          </cell>
          <cell r="D69">
            <v>43.75</v>
          </cell>
          <cell r="G69">
            <v>33.459999000000003</v>
          </cell>
          <cell r="K69">
            <v>43.158000200000004</v>
          </cell>
          <cell r="L69">
            <v>44.854999999999997</v>
          </cell>
          <cell r="M69">
            <v>14.849999999999998</v>
          </cell>
          <cell r="N69">
            <v>4.9640002607666336</v>
          </cell>
          <cell r="P69">
            <v>39.801666666666662</v>
          </cell>
          <cell r="Q69">
            <v>43.971249547776466</v>
          </cell>
          <cell r="R69">
            <v>-18723.449936839475</v>
          </cell>
        </row>
        <row r="70">
          <cell r="C70">
            <v>43891</v>
          </cell>
          <cell r="D70">
            <v>32.709999000000003</v>
          </cell>
          <cell r="G70">
            <v>13.17</v>
          </cell>
          <cell r="K70">
            <v>37.214000399999996</v>
          </cell>
          <cell r="L70">
            <v>41.053000099999998</v>
          </cell>
          <cell r="M70">
            <v>25.440000000000005</v>
          </cell>
          <cell r="N70">
            <v>10.754981623900932</v>
          </cell>
          <cell r="P70">
            <v>36.84750008333333</v>
          </cell>
          <cell r="Q70">
            <v>33.123369347135089</v>
          </cell>
          <cell r="R70">
            <v>-18735.870874741431</v>
          </cell>
        </row>
        <row r="71">
          <cell r="C71">
            <v>43922</v>
          </cell>
          <cell r="D71">
            <v>12.6</v>
          </cell>
          <cell r="G71">
            <v>15.9</v>
          </cell>
          <cell r="K71">
            <v>31.377999999999997</v>
          </cell>
          <cell r="L71">
            <v>37.988000200000002</v>
          </cell>
          <cell r="M71">
            <v>9.0299999999999976</v>
          </cell>
          <cell r="N71">
            <v>13.121402536941174</v>
          </cell>
          <cell r="P71">
            <v>34.336666833333332</v>
          </cell>
          <cell r="Q71">
            <v>13.363329471503015</v>
          </cell>
          <cell r="R71">
            <v>-18749.148429050423</v>
          </cell>
        </row>
        <row r="72">
          <cell r="C72">
            <v>43952</v>
          </cell>
          <cell r="D72">
            <v>14.9</v>
          </cell>
          <cell r="G72">
            <v>15.74</v>
          </cell>
          <cell r="K72">
            <v>24.359999600000002</v>
          </cell>
          <cell r="L72">
            <v>34.839000200000001</v>
          </cell>
          <cell r="M72">
            <v>7.16</v>
          </cell>
          <cell r="N72">
            <v>14.375665331169186</v>
          </cell>
          <cell r="P72">
            <v>31.557500166666667</v>
          </cell>
          <cell r="Q72">
            <v>15.623304308595436</v>
          </cell>
          <cell r="R72">
            <v>-18761.997675155897</v>
          </cell>
        </row>
        <row r="73">
          <cell r="C73">
            <v>43983</v>
          </cell>
          <cell r="D73">
            <v>15.98</v>
          </cell>
          <cell r="G73">
            <v>16.420000000000002</v>
          </cell>
          <cell r="K73">
            <v>18.9379998</v>
          </cell>
          <cell r="L73">
            <v>32.073</v>
          </cell>
          <cell r="M73">
            <v>10.360000999999999</v>
          </cell>
          <cell r="N73">
            <v>15.045463201244461</v>
          </cell>
          <cell r="P73">
            <v>29.257500000000004</v>
          </cell>
          <cell r="Q73">
            <v>16.684509884273616</v>
          </cell>
          <cell r="R73">
            <v>-18775.275229464885</v>
          </cell>
        </row>
        <row r="74">
          <cell r="C74">
            <v>44013</v>
          </cell>
          <cell r="D74">
            <v>16.940000999999999</v>
          </cell>
          <cell r="G74">
            <v>13.88</v>
          </cell>
          <cell r="K74">
            <v>15.022</v>
          </cell>
          <cell r="L74">
            <v>29.090000100000005</v>
          </cell>
          <cell r="M74">
            <v>4.2099999999999991</v>
          </cell>
          <cell r="N74">
            <v>15.434003893639838</v>
          </cell>
          <cell r="P74">
            <v>26.880000083333339</v>
          </cell>
          <cell r="Q74">
            <v>17.627804711918643</v>
          </cell>
          <cell r="R74">
            <v>-18788.124475570359</v>
          </cell>
        </row>
        <row r="75">
          <cell r="C75">
            <v>44044</v>
          </cell>
          <cell r="D75">
            <v>13.48</v>
          </cell>
          <cell r="G75">
            <v>16.48</v>
          </cell>
          <cell r="K75">
            <v>15.684000000000001</v>
          </cell>
          <cell r="L75">
            <v>26.4490002</v>
          </cell>
          <cell r="M75">
            <v>4.51</v>
          </cell>
          <cell r="N75">
            <v>15.065411503263618</v>
          </cell>
          <cell r="P75">
            <v>24.4483335</v>
          </cell>
          <cell r="Q75">
            <v>14.228015496129681</v>
          </cell>
          <cell r="R75">
            <v>-18801.402029879348</v>
          </cell>
        </row>
        <row r="76">
          <cell r="C76">
            <v>44075</v>
          </cell>
          <cell r="D76">
            <v>16.09</v>
          </cell>
          <cell r="G76">
            <v>15.18</v>
          </cell>
          <cell r="K76">
            <v>15.540000000000003</v>
          </cell>
          <cell r="L76">
            <v>23.459</v>
          </cell>
          <cell r="M76">
            <v>5.5200000000000014</v>
          </cell>
          <cell r="N76">
            <v>13.87713843116723</v>
          </cell>
          <cell r="P76">
            <v>22.356666666666669</v>
          </cell>
          <cell r="Q76">
            <v>16.792595637351951</v>
          </cell>
          <cell r="R76">
            <v>-18814.679584188336</v>
          </cell>
        </row>
        <row r="77">
          <cell r="C77">
            <v>44105</v>
          </cell>
          <cell r="D77">
            <v>15.43</v>
          </cell>
          <cell r="G77">
            <v>13.71</v>
          </cell>
          <cell r="K77">
            <v>15.134</v>
          </cell>
          <cell r="L77">
            <v>19.746999800000001</v>
          </cell>
          <cell r="M77">
            <v>4.0600000000000023</v>
          </cell>
          <cell r="N77">
            <v>10.226634805513175</v>
          </cell>
          <cell r="P77">
            <v>19.925833166666667</v>
          </cell>
          <cell r="Q77">
            <v>16.144081118881953</v>
          </cell>
          <cell r="R77">
            <v>-18827.52883029381</v>
          </cell>
        </row>
        <row r="78">
          <cell r="C78">
            <v>44136</v>
          </cell>
          <cell r="D78">
            <v>13.49</v>
          </cell>
          <cell r="G78">
            <v>19.98</v>
          </cell>
          <cell r="K78">
            <v>15.846</v>
          </cell>
          <cell r="L78">
            <v>17.391999899999998</v>
          </cell>
          <cell r="M78">
            <v>9.32</v>
          </cell>
          <cell r="N78">
            <v>5.96489291944496</v>
          </cell>
          <cell r="P78">
            <v>17.854166583333335</v>
          </cell>
          <cell r="Q78">
            <v>14.237841473682256</v>
          </cell>
          <cell r="R78">
            <v>-18840.806384602802</v>
          </cell>
        </row>
        <row r="79">
          <cell r="C79">
            <v>44166</v>
          </cell>
          <cell r="D79">
            <v>20.99</v>
          </cell>
          <cell r="G79">
            <v>21.66</v>
          </cell>
          <cell r="K79">
            <v>17.402000000000001</v>
          </cell>
          <cell r="L79">
            <v>16.212</v>
          </cell>
          <cell r="M79">
            <v>5.1499990000000011</v>
          </cell>
          <cell r="N79">
            <v>2.7147899448105512</v>
          </cell>
          <cell r="P79">
            <v>17.295000000000002</v>
          </cell>
          <cell r="Q79">
            <v>21.607324638114065</v>
          </cell>
          <cell r="R79">
            <v>-18853.655630708272</v>
          </cell>
        </row>
        <row r="80">
          <cell r="C80">
            <v>44197</v>
          </cell>
          <cell r="D80">
            <v>21.700001</v>
          </cell>
          <cell r="G80">
            <v>18.670000000000002</v>
          </cell>
          <cell r="K80">
            <v>17.84</v>
          </cell>
          <cell r="L80">
            <v>16.762</v>
          </cell>
          <cell r="M80">
            <v>3.75</v>
          </cell>
          <cell r="N80">
            <v>2.5840055039501109</v>
          </cell>
          <cell r="P80">
            <v>18.409166750000001</v>
          </cell>
          <cell r="Q80">
            <v>22.304970026944702</v>
          </cell>
          <cell r="R80">
            <v>-18866.933185017264</v>
          </cell>
        </row>
        <row r="81">
          <cell r="C81">
            <v>44228</v>
          </cell>
          <cell r="D81">
            <v>18.959999</v>
          </cell>
          <cell r="G81">
            <v>26.75</v>
          </cell>
          <cell r="K81">
            <v>20.154</v>
          </cell>
          <cell r="L81">
            <v>17.847000000000001</v>
          </cell>
          <cell r="M81">
            <v>9.8299999999999983</v>
          </cell>
          <cell r="N81">
            <v>4.0461038872805215</v>
          </cell>
          <cell r="P81">
            <v>19.41416666666667</v>
          </cell>
          <cell r="Q81">
            <v>19.612650212343436</v>
          </cell>
          <cell r="R81">
            <v>-18880.210739326252</v>
          </cell>
        </row>
        <row r="82">
          <cell r="C82">
            <v>44256</v>
          </cell>
          <cell r="D82">
            <v>27.549999</v>
          </cell>
          <cell r="G82">
            <v>26.540001</v>
          </cell>
          <cell r="K82">
            <v>22.720000200000001</v>
          </cell>
          <cell r="L82">
            <v>18.927000100000001</v>
          </cell>
          <cell r="M82">
            <v>6.8600009999999969</v>
          </cell>
          <cell r="N82">
            <v>4.7935538338944923</v>
          </cell>
          <cell r="P82">
            <v>20.565833250000001</v>
          </cell>
          <cell r="Q82">
            <v>28.053164930006002</v>
          </cell>
          <cell r="R82">
            <v>-18892.203369024694</v>
          </cell>
        </row>
        <row r="83">
          <cell r="C83">
            <v>44287</v>
          </cell>
          <cell r="D83">
            <v>26.99</v>
          </cell>
          <cell r="G83">
            <v>27.959999</v>
          </cell>
          <cell r="K83">
            <v>24.315999999999999</v>
          </cell>
          <cell r="L83">
            <v>20.081</v>
          </cell>
          <cell r="M83">
            <v>5.5099980000000031</v>
          </cell>
          <cell r="N83">
            <v>5.4650026650395258</v>
          </cell>
          <cell r="P83">
            <v>21.394166666666667</v>
          </cell>
          <cell r="Q83">
            <v>27.502911169659512</v>
          </cell>
          <cell r="R83">
            <v>-18905.480923333682</v>
          </cell>
        </row>
        <row r="84">
          <cell r="C84">
            <v>44317</v>
          </cell>
          <cell r="D84">
            <v>28.02</v>
          </cell>
          <cell r="G84">
            <v>29.559999000000001</v>
          </cell>
          <cell r="K84">
            <v>25.895999799999998</v>
          </cell>
          <cell r="L84">
            <v>21.6489999</v>
          </cell>
          <cell r="M84">
            <v>5.7799990000000001</v>
          </cell>
          <cell r="N84">
            <v>5.73109521565374</v>
          </cell>
          <cell r="P84">
            <v>22.041666666666668</v>
          </cell>
          <cell r="Q84">
            <v>28.514986857574819</v>
          </cell>
          <cell r="R84">
            <v>-18918.330169439156</v>
          </cell>
        </row>
        <row r="85">
          <cell r="C85">
            <v>44348</v>
          </cell>
          <cell r="D85">
            <v>30.190000999999999</v>
          </cell>
          <cell r="G85">
            <v>26.360001</v>
          </cell>
          <cell r="K85">
            <v>27.434000000000005</v>
          </cell>
          <cell r="L85">
            <v>22.637000000000004</v>
          </cell>
          <cell r="M85">
            <v>5.8299990000000008</v>
          </cell>
          <cell r="N85">
            <v>5.5908914093471154</v>
          </cell>
          <cell r="P85">
            <v>22.67999991666667</v>
          </cell>
          <cell r="Q85">
            <v>30.64722496908151</v>
          </cell>
          <cell r="R85">
            <v>-18931.607723748148</v>
          </cell>
        </row>
        <row r="86">
          <cell r="C86">
            <v>44378</v>
          </cell>
          <cell r="D86">
            <v>26.59</v>
          </cell>
          <cell r="G86">
            <v>21.65</v>
          </cell>
          <cell r="K86">
            <v>26.413999999999998</v>
          </cell>
          <cell r="L86">
            <v>23.284000000000002</v>
          </cell>
          <cell r="M86">
            <v>7.6599990000000027</v>
          </cell>
          <cell r="N86">
            <v>4.9721874323302115</v>
          </cell>
          <cell r="P86">
            <v>23.499166583333334</v>
          </cell>
          <cell r="Q86">
            <v>27.109872067556484</v>
          </cell>
          <cell r="R86">
            <v>-18944.456969853618</v>
          </cell>
        </row>
        <row r="87">
          <cell r="C87">
            <v>44409</v>
          </cell>
          <cell r="D87">
            <v>21.83</v>
          </cell>
          <cell r="G87">
            <v>24.139999</v>
          </cell>
          <cell r="K87">
            <v>25.9339996</v>
          </cell>
          <cell r="L87">
            <v>24.326999900000001</v>
          </cell>
          <cell r="M87">
            <v>4.119999</v>
          </cell>
          <cell r="N87">
            <v>3.6620668289005658</v>
          </cell>
          <cell r="P87">
            <v>24.203333250000004</v>
          </cell>
          <cell r="Q87">
            <v>22.432706752530429</v>
          </cell>
          <cell r="R87">
            <v>-18957.73452416261</v>
          </cell>
        </row>
        <row r="88">
          <cell r="C88">
            <v>44440</v>
          </cell>
          <cell r="D88">
            <v>24.219999000000001</v>
          </cell>
          <cell r="G88">
            <v>25.01</v>
          </cell>
          <cell r="K88">
            <v>25.343999799999999</v>
          </cell>
          <cell r="L88">
            <v>24.829999899999997</v>
          </cell>
          <cell r="M88">
            <v>5.1499990000000011</v>
          </cell>
          <cell r="N88">
            <v>3.3289403075320796</v>
          </cell>
          <cell r="P88">
            <v>24.006666666666664</v>
          </cell>
          <cell r="Q88">
            <v>24.781114404998281</v>
          </cell>
          <cell r="R88">
            <v>-18971.012078471598</v>
          </cell>
        </row>
        <row r="89">
          <cell r="C89">
            <v>44470</v>
          </cell>
          <cell r="D89">
            <v>26.07</v>
          </cell>
          <cell r="G89">
            <v>22.16</v>
          </cell>
          <cell r="K89">
            <v>23.864000000000001</v>
          </cell>
          <cell r="L89">
            <v>24.879999899999998</v>
          </cell>
          <cell r="M89">
            <v>5.260000999999999</v>
          </cell>
          <cell r="N89">
            <v>3.2794239372183309</v>
          </cell>
          <cell r="P89">
            <v>23.878333416666663</v>
          </cell>
          <cell r="Q89">
            <v>26.598921234822548</v>
          </cell>
          <cell r="R89">
            <v>-18983.861324577072</v>
          </cell>
        </row>
        <row r="90">
          <cell r="C90">
            <v>44501</v>
          </cell>
          <cell r="D90">
            <v>22.299999</v>
          </cell>
          <cell r="G90">
            <v>17.620000999999998</v>
          </cell>
          <cell r="K90">
            <v>22.116</v>
          </cell>
          <cell r="L90">
            <v>24.774999999999999</v>
          </cell>
          <cell r="M90">
            <v>8.18</v>
          </cell>
          <cell r="N90">
            <v>3.5091123872950232</v>
          </cell>
          <cell r="P90">
            <v>23.973333333333333</v>
          </cell>
          <cell r="Q90">
            <v>22.894526714903733</v>
          </cell>
          <cell r="R90">
            <v>-18997.13887888606</v>
          </cell>
        </row>
        <row r="91">
          <cell r="C91">
            <v>44531</v>
          </cell>
          <cell r="D91">
            <v>18.120000999999998</v>
          </cell>
          <cell r="G91">
            <v>20.120000999999998</v>
          </cell>
          <cell r="K91">
            <v>21.810000200000001</v>
          </cell>
          <cell r="L91">
            <v>24.112000099999996</v>
          </cell>
          <cell r="M91">
            <v>5.4799989999999994</v>
          </cell>
          <cell r="N91">
            <v>3.714798181089126</v>
          </cell>
          <cell r="P91">
            <v>23.438333333333329</v>
          </cell>
          <cell r="Q91">
            <v>18.78727006312258</v>
          </cell>
          <cell r="R91">
            <v>-19009.988124991534</v>
          </cell>
        </row>
        <row r="92">
          <cell r="C92">
            <v>44562</v>
          </cell>
          <cell r="D92">
            <v>20.559999000000001</v>
          </cell>
          <cell r="G92">
            <v>19.809999000000001</v>
          </cell>
          <cell r="K92">
            <v>20.944000200000001</v>
          </cell>
          <cell r="L92">
            <v>23.438999899999999</v>
          </cell>
          <cell r="M92">
            <v>5.1499990000000011</v>
          </cell>
          <cell r="N92">
            <v>3.833771889956834</v>
          </cell>
          <cell r="P92">
            <v>22.911666499999995</v>
          </cell>
          <cell r="Q92">
            <v>21.184806620755555</v>
          </cell>
          <cell r="R92">
            <v>-19023.265679300523</v>
          </cell>
        </row>
        <row r="93">
          <cell r="C93">
            <v>44593</v>
          </cell>
          <cell r="D93">
            <v>19.950001</v>
          </cell>
          <cell r="G93">
            <v>20.329999999999998</v>
          </cell>
          <cell r="K93">
            <v>20.008000200000001</v>
          </cell>
          <cell r="L93">
            <v>22.675999999999998</v>
          </cell>
          <cell r="M93">
            <v>5.2100010000000019</v>
          </cell>
          <cell r="N93">
            <v>3.5852323832944286</v>
          </cell>
          <cell r="P93">
            <v>22.023333166666664</v>
          </cell>
          <cell r="Q93">
            <v>20.585423955243947</v>
          </cell>
          <cell r="R93">
            <v>-19036.543233609515</v>
          </cell>
        </row>
        <row r="94">
          <cell r="C94">
            <v>44621</v>
          </cell>
          <cell r="D94">
            <v>19.969999000000001</v>
          </cell>
          <cell r="G94">
            <v>20.219999000000001</v>
          </cell>
          <cell r="K94">
            <v>19.619999999999997</v>
          </cell>
          <cell r="L94">
            <v>21.741999999999997</v>
          </cell>
          <cell r="M94">
            <v>5.6000010000000007</v>
          </cell>
          <cell r="N94">
            <v>2.6998757144235257</v>
          </cell>
          <cell r="P94">
            <v>20.716666583333332</v>
          </cell>
          <cell r="Q94">
            <v>20.605073945153588</v>
          </cell>
          <cell r="R94">
            <v>-19048.535863307956</v>
          </cell>
        </row>
        <row r="95">
          <cell r="C95">
            <v>44652</v>
          </cell>
          <cell r="D95">
            <v>20.350000000000001</v>
          </cell>
          <cell r="G95">
            <v>17.299999</v>
          </cell>
          <cell r="K95">
            <v>19.5559996</v>
          </cell>
          <cell r="L95">
            <v>20.835999799999996</v>
          </cell>
          <cell r="M95">
            <v>4.3799990000000015</v>
          </cell>
          <cell r="N95">
            <v>2.4900030317698305</v>
          </cell>
          <cell r="P95">
            <v>19.240833166666665</v>
          </cell>
          <cell r="Q95">
            <v>20.978462074749221</v>
          </cell>
          <cell r="R95">
            <v>-19061.813417616944</v>
          </cell>
        </row>
        <row r="96">
          <cell r="C96">
            <v>44682</v>
          </cell>
          <cell r="D96">
            <v>17.309999000000001</v>
          </cell>
          <cell r="G96">
            <v>13.88</v>
          </cell>
          <cell r="K96">
            <v>18.3079994</v>
          </cell>
          <cell r="L96">
            <v>20.058999799999999</v>
          </cell>
          <cell r="M96">
            <v>6.2699999999999978</v>
          </cell>
          <cell r="N96">
            <v>3.2911849061125369</v>
          </cell>
          <cell r="P96">
            <v>18.1916665</v>
          </cell>
          <cell r="Q96">
            <v>17.991363916168439</v>
          </cell>
          <cell r="R96">
            <v>-19074.662663722418</v>
          </cell>
        </row>
        <row r="97">
          <cell r="C97">
            <v>44713</v>
          </cell>
          <cell r="D97">
            <v>14.04</v>
          </cell>
          <cell r="G97">
            <v>8.65</v>
          </cell>
          <cell r="K97">
            <v>16.075999599999999</v>
          </cell>
          <cell r="L97">
            <v>18.5099999</v>
          </cell>
          <cell r="M97">
            <v>6.1</v>
          </cell>
          <cell r="N97">
            <v>4.5583110644185547</v>
          </cell>
          <cell r="P97">
            <v>16.968333250000001</v>
          </cell>
          <cell r="Q97">
            <v>14.778270239073921</v>
          </cell>
          <cell r="R97">
            <v>-19087.940218031406</v>
          </cell>
        </row>
        <row r="98">
          <cell r="C98">
            <v>44743</v>
          </cell>
          <cell r="D98">
            <v>8.61</v>
          </cell>
          <cell r="G98">
            <v>9.06</v>
          </cell>
          <cell r="K98">
            <v>13.821999600000002</v>
          </cell>
          <cell r="L98">
            <v>16.914999900000002</v>
          </cell>
          <cell r="M98">
            <v>2.9499999999999993</v>
          </cell>
          <cell r="N98">
            <v>4.8145156056105165</v>
          </cell>
          <cell r="P98">
            <v>15.469999916666668</v>
          </cell>
          <cell r="Q98">
            <v>9.4427644280252903</v>
          </cell>
          <cell r="R98">
            <v>-19100.78946413688</v>
          </cell>
        </row>
        <row r="99">
          <cell r="C99">
            <v>44774</v>
          </cell>
          <cell r="D99">
            <v>8.9</v>
          </cell>
          <cell r="G99">
            <v>9.4600000000000009</v>
          </cell>
          <cell r="K99">
            <v>11.669999800000001</v>
          </cell>
          <cell r="L99">
            <v>15.644999900000002</v>
          </cell>
          <cell r="M99">
            <v>2.8100000000000005</v>
          </cell>
          <cell r="N99">
            <v>4.950353995310774</v>
          </cell>
          <cell r="P99">
            <v>14.378333250000003</v>
          </cell>
          <cell r="Q99">
            <v>9.727717777049989</v>
          </cell>
          <cell r="R99">
            <v>-19114.067018445869</v>
          </cell>
        </row>
        <row r="100">
          <cell r="C100">
            <v>44805</v>
          </cell>
          <cell r="D100">
            <v>9.2899999999999991</v>
          </cell>
          <cell r="G100">
            <v>7.03</v>
          </cell>
          <cell r="K100">
            <v>9.6160000000000014</v>
          </cell>
          <cell r="L100">
            <v>14.5859998</v>
          </cell>
          <cell r="M100">
            <v>4.18</v>
          </cell>
          <cell r="N100">
            <v>5.5743143467156937</v>
          </cell>
          <cell r="P100">
            <v>13.737499833333333</v>
          </cell>
          <cell r="Q100">
            <v>10.110930901600442</v>
          </cell>
          <cell r="R100">
            <v>-19127.344572754861</v>
          </cell>
        </row>
        <row r="101">
          <cell r="C101">
            <v>44835</v>
          </cell>
          <cell r="D101">
            <v>7.17</v>
          </cell>
          <cell r="G101">
            <v>9.06</v>
          </cell>
          <cell r="K101">
            <v>8.652000000000001</v>
          </cell>
          <cell r="L101">
            <v>13.479999700000002</v>
          </cell>
          <cell r="M101">
            <v>3.04</v>
          </cell>
          <cell r="N101">
            <v>5.4501372686077207</v>
          </cell>
          <cell r="P101">
            <v>12.732499750000002</v>
          </cell>
          <cell r="Q101">
            <v>8.0278236604543842</v>
          </cell>
          <cell r="R101">
            <v>-19140.193818860334</v>
          </cell>
        </row>
        <row r="102">
          <cell r="C102">
            <v>44866</v>
          </cell>
          <cell r="D102">
            <v>9.39</v>
          </cell>
          <cell r="G102">
            <v>9.93</v>
          </cell>
          <cell r="K102">
            <v>8.9080000000000013</v>
          </cell>
          <cell r="L102">
            <v>12.491999800000002</v>
          </cell>
          <cell r="M102">
            <v>3.24</v>
          </cell>
          <cell r="N102">
            <v>5.0564385240558085</v>
          </cell>
          <cell r="P102">
            <v>11.983333166666668</v>
          </cell>
          <cell r="Q102">
            <v>10.2091906771262</v>
          </cell>
          <cell r="R102">
            <v>-19153.471373169323</v>
          </cell>
        </row>
        <row r="103">
          <cell r="C103">
            <v>44896</v>
          </cell>
          <cell r="D103">
            <v>9.9600000000000009</v>
          </cell>
          <cell r="G103">
            <v>8.06</v>
          </cell>
          <cell r="K103">
            <v>8.708000000000002</v>
          </cell>
          <cell r="L103">
            <v>11.264999800000002</v>
          </cell>
          <cell r="M103">
            <v>2.7599999999999989</v>
          </cell>
          <cell r="N103">
            <v>4.3876242625011832</v>
          </cell>
          <cell r="P103">
            <v>11.1741665</v>
          </cell>
          <cell r="Q103">
            <v>10.769271397623019</v>
          </cell>
          <cell r="R103">
            <v>-19166.320619274797</v>
          </cell>
        </row>
        <row r="104">
          <cell r="C104">
            <v>44927</v>
          </cell>
          <cell r="D104">
            <v>8.24</v>
          </cell>
          <cell r="G104">
            <v>10.82</v>
          </cell>
          <cell r="K104">
            <v>8.98</v>
          </cell>
          <cell r="L104">
            <v>10.3249999</v>
          </cell>
          <cell r="M104">
            <v>3.33</v>
          </cell>
          <cell r="N104">
            <v>3.0628823761287518</v>
          </cell>
          <cell r="P104">
            <v>10.334999916666668</v>
          </cell>
          <cell r="Q104">
            <v>9.0792032585799891</v>
          </cell>
          <cell r="R104">
            <v>-19179.598173583785</v>
          </cell>
        </row>
        <row r="105">
          <cell r="C105">
            <v>44958</v>
          </cell>
          <cell r="D105">
            <v>10.82</v>
          </cell>
          <cell r="G105">
            <v>10.62</v>
          </cell>
          <cell r="K105">
            <v>9.6980000000000004</v>
          </cell>
          <cell r="L105">
            <v>9.6570000000000018</v>
          </cell>
          <cell r="M105">
            <v>2.3699999999999992</v>
          </cell>
          <cell r="N105">
            <v>1.8680176658693488</v>
          </cell>
          <cell r="P105">
            <v>9.6608333333333363</v>
          </cell>
          <cell r="Q105">
            <v>11.614305467144533</v>
          </cell>
          <cell r="R105">
            <v>-19192.875727892773</v>
          </cell>
        </row>
        <row r="106">
          <cell r="C106">
            <v>44986</v>
          </cell>
          <cell r="D106">
            <v>10.62</v>
          </cell>
          <cell r="G106">
            <v>10.15</v>
          </cell>
          <cell r="K106">
            <v>9.9160000000000004</v>
          </cell>
          <cell r="L106">
            <v>9.2840000000000025</v>
          </cell>
          <cell r="M106">
            <v>3.16</v>
          </cell>
          <cell r="N106">
            <v>1.1748966857652687</v>
          </cell>
          <cell r="P106">
            <v>9.4400000000000013</v>
          </cell>
          <cell r="Q106">
            <v>11.417785916093015</v>
          </cell>
          <cell r="R106">
            <v>-19204.868357591215</v>
          </cell>
        </row>
        <row r="107">
          <cell r="C107">
            <v>45017</v>
          </cell>
          <cell r="D107">
            <v>9.98</v>
          </cell>
          <cell r="G107">
            <v>9.2100000000000009</v>
          </cell>
          <cell r="K107">
            <v>9.7720000000000002</v>
          </cell>
          <cell r="L107">
            <v>9.34</v>
          </cell>
          <cell r="M107">
            <v>1.5300000000000011</v>
          </cell>
          <cell r="N107">
            <v>1.1544888238716047</v>
          </cell>
          <cell r="P107">
            <v>10.288333333333334</v>
          </cell>
          <cell r="Q107">
            <v>10.788923352728169</v>
          </cell>
          <cell r="R107">
            <v>-19218.145911900207</v>
          </cell>
        </row>
        <row r="108">
          <cell r="C108">
            <v>45047</v>
          </cell>
          <cell r="D108">
            <v>9.27</v>
          </cell>
          <cell r="G108">
            <v>11.23</v>
          </cell>
          <cell r="K108">
            <v>10.406000000000001</v>
          </cell>
          <cell r="L108">
            <v>9.5570000000000004</v>
          </cell>
          <cell r="M108">
            <v>2.67</v>
          </cell>
          <cell r="N108">
            <v>1.2917864460591868</v>
          </cell>
          <cell r="P108">
            <v>11.103333333333333</v>
          </cell>
          <cell r="Q108">
            <v>10.09127894649529</v>
          </cell>
          <cell r="R108">
            <v>-19230.99515800568</v>
          </cell>
        </row>
        <row r="109">
          <cell r="C109">
            <v>45078</v>
          </cell>
          <cell r="D109">
            <v>11.32</v>
          </cell>
          <cell r="G109">
            <v>18.829999999999998</v>
          </cell>
          <cell r="K109">
            <v>12.007999999999999</v>
          </cell>
          <cell r="L109">
            <v>10.494</v>
          </cell>
          <cell r="M109">
            <v>7.6799990000000022</v>
          </cell>
          <cell r="N109">
            <v>3.2010040091612928</v>
          </cell>
          <cell r="P109">
            <v>11.633333333333333</v>
          </cell>
          <cell r="Q109">
            <v>12.105604344773319</v>
          </cell>
          <cell r="R109">
            <v>-19244.272712314669</v>
          </cell>
        </row>
        <row r="110">
          <cell r="C110">
            <v>45108</v>
          </cell>
          <cell r="D110">
            <v>18.549999</v>
          </cell>
          <cell r="G110">
            <v>18.84</v>
          </cell>
          <cell r="K110">
            <v>13.652000000000001</v>
          </cell>
          <cell r="L110">
            <v>11.675000000000001</v>
          </cell>
          <cell r="M110">
            <v>2.4499989999999983</v>
          </cell>
          <cell r="N110">
            <v>3.8862528367453266</v>
          </cell>
          <cell r="P110">
            <v>12.190833333333332</v>
          </cell>
          <cell r="Q110">
            <v>19.209785132687831</v>
          </cell>
          <cell r="R110">
            <v>-19257.121958420143</v>
          </cell>
        </row>
        <row r="111">
          <cell r="C111">
            <v>45139</v>
          </cell>
          <cell r="D111">
            <v>18.16</v>
          </cell>
          <cell r="G111">
            <v>15.82</v>
          </cell>
          <cell r="K111">
            <v>14.786000000000001</v>
          </cell>
          <cell r="L111">
            <v>12.350999999999999</v>
          </cell>
          <cell r="M111">
            <v>3.0199999999999996</v>
          </cell>
          <cell r="N111">
            <v>3.9679226302940958</v>
          </cell>
          <cell r="P111">
            <v>12.390833333333333</v>
          </cell>
          <cell r="Q111">
            <v>18.82657299073513</v>
          </cell>
          <cell r="R111">
            <v>-19270.399512729131</v>
          </cell>
        </row>
        <row r="112">
          <cell r="C112">
            <v>45170</v>
          </cell>
          <cell r="D112">
            <v>15.83</v>
          </cell>
          <cell r="G112">
            <v>13.72</v>
          </cell>
          <cell r="K112">
            <v>15.687999999999999</v>
          </cell>
          <cell r="L112">
            <v>12.73</v>
          </cell>
          <cell r="M112">
            <v>2.819999000000001</v>
          </cell>
          <cell r="N112">
            <v>3.891246586892172</v>
          </cell>
          <cell r="P112">
            <v>12.818333333333335</v>
          </cell>
          <cell r="Q112">
            <v>16.537120220984981</v>
          </cell>
          <cell r="R112">
            <v>-19283.677067038119</v>
          </cell>
        </row>
        <row r="113">
          <cell r="C113">
            <v>45200</v>
          </cell>
          <cell r="D113">
            <v>13.5</v>
          </cell>
          <cell r="G113">
            <v>11.46</v>
          </cell>
          <cell r="K113">
            <v>15.734000000000004</v>
          </cell>
          <cell r="L113">
            <v>13.070000000000002</v>
          </cell>
          <cell r="M113">
            <v>3.33</v>
          </cell>
          <cell r="N113">
            <v>3.5734235063249216</v>
          </cell>
          <cell r="P113">
            <v>13.691666750000001</v>
          </cell>
          <cell r="Q113">
            <v>14.247667451234832</v>
          </cell>
          <cell r="R113">
            <v>-19296.526313143593</v>
          </cell>
        </row>
        <row r="114">
          <cell r="C114">
            <v>45231</v>
          </cell>
          <cell r="D114">
            <v>11.45</v>
          </cell>
          <cell r="G114">
            <v>15.06</v>
          </cell>
          <cell r="K114">
            <v>14.979999999999999</v>
          </cell>
          <cell r="L114">
            <v>13.494</v>
          </cell>
          <cell r="M114">
            <v>4.1800000000000015</v>
          </cell>
          <cell r="N114">
            <v>3.5280469888531187</v>
          </cell>
          <cell r="P114">
            <v>14.17166675</v>
          </cell>
          <cell r="Q114">
            <v>12.233342052956804</v>
          </cell>
          <cell r="R114">
            <v>-19309.803867452581</v>
          </cell>
        </row>
        <row r="115">
          <cell r="C115">
            <v>45261</v>
          </cell>
          <cell r="D115">
            <v>15.12</v>
          </cell>
          <cell r="G115">
            <v>18.540001</v>
          </cell>
          <cell r="K115">
            <v>14.9200002</v>
          </cell>
          <cell r="L115">
            <v>14.286000100000001</v>
          </cell>
          <cell r="M115">
            <v>4.7099999999999991</v>
          </cell>
          <cell r="N115">
            <v>3.6961488742864397</v>
          </cell>
          <cell r="P115">
            <v>14.608333416666667</v>
          </cell>
          <cell r="Q115">
            <v>15.839475814752102</v>
          </cell>
          <cell r="R115">
            <v>-19322.653113558055</v>
          </cell>
        </row>
        <row r="116">
          <cell r="C116">
            <v>45292</v>
          </cell>
          <cell r="D116">
            <v>18.309999000000001</v>
          </cell>
          <cell r="G116">
            <v>16.579999999999998</v>
          </cell>
          <cell r="K116">
            <v>15.0720002</v>
          </cell>
          <cell r="L116">
            <v>14.929000100000001</v>
          </cell>
          <cell r="M116">
            <v>2.6500000000000004</v>
          </cell>
          <cell r="N116">
            <v>3.4476255471781658</v>
          </cell>
          <cell r="P116">
            <v>15.124166750000002</v>
          </cell>
          <cell r="Q116">
            <v>18.973961671426014</v>
          </cell>
          <cell r="R116">
            <v>-19335.930667867047</v>
          </cell>
        </row>
        <row r="117">
          <cell r="C117">
            <v>45323</v>
          </cell>
          <cell r="D117">
            <v>17.09</v>
          </cell>
          <cell r="G117">
            <v>15.86</v>
          </cell>
          <cell r="K117">
            <v>15.500000199999999</v>
          </cell>
          <cell r="L117">
            <v>15.594000099999999</v>
          </cell>
          <cell r="M117">
            <v>2.7999999999999989</v>
          </cell>
          <cell r="N117">
            <v>2.8030270520754503</v>
          </cell>
          <cell r="P117">
            <v>15.59166675</v>
          </cell>
          <cell r="Q117">
            <v>17.775193392609527</v>
          </cell>
          <cell r="R117">
            <v>-19349.208222176036</v>
          </cell>
        </row>
        <row r="118">
          <cell r="C118">
            <v>45352</v>
          </cell>
          <cell r="D118">
            <v>15.9</v>
          </cell>
          <cell r="G118">
            <v>16.34</v>
          </cell>
          <cell r="K118">
            <v>16.476000199999998</v>
          </cell>
          <cell r="L118">
            <v>16.105000100000005</v>
          </cell>
          <cell r="M118">
            <v>2.0700000000000003</v>
          </cell>
          <cell r="N118">
            <v>2.3478939704906998</v>
          </cell>
          <cell r="P118">
            <v>15.912500083333336</v>
          </cell>
          <cell r="Q118">
            <v>16.605902063853012</v>
          </cell>
          <cell r="R118">
            <v>-19361.629160077991</v>
          </cell>
        </row>
        <row r="119">
          <cell r="C119">
            <v>45383</v>
          </cell>
          <cell r="D119">
            <v>16.48</v>
          </cell>
          <cell r="G119">
            <v>14.82</v>
          </cell>
          <cell r="K119">
            <v>16.428000200000003</v>
          </cell>
          <cell r="L119">
            <v>15.704000099999998</v>
          </cell>
          <cell r="M119">
            <v>2.870000000000001</v>
          </cell>
          <cell r="N119">
            <v>2.1661806037355635</v>
          </cell>
          <cell r="P119">
            <v>15.709166666666667</v>
          </cell>
          <cell r="Q119">
            <v>17.175808761902406</v>
          </cell>
          <cell r="R119">
            <v>-19374.906714386983</v>
          </cell>
        </row>
        <row r="120">
          <cell r="C120">
            <v>45413</v>
          </cell>
          <cell r="D120">
            <v>14.63</v>
          </cell>
          <cell r="G120">
            <v>15.08</v>
          </cell>
          <cell r="K120">
            <v>15.736000000000001</v>
          </cell>
          <cell r="L120">
            <v>15.328000100000002</v>
          </cell>
          <cell r="M120">
            <v>2.259999999999998</v>
          </cell>
          <cell r="N120">
            <v>1.8670287275061817</v>
          </cell>
          <cell r="P120">
            <v>15.613324916666668</v>
          </cell>
          <cell r="Q120">
            <v>15.358002914675891</v>
          </cell>
          <cell r="R120">
            <v>-19387.755960492457</v>
          </cell>
        </row>
        <row r="121">
          <cell r="C121">
            <v>45444</v>
          </cell>
          <cell r="D121">
            <v>15.21</v>
          </cell>
          <cell r="G121">
            <v>16.389999</v>
          </cell>
          <cell r="K121">
            <v>15.6979998</v>
          </cell>
          <cell r="L121">
            <v>15.385</v>
          </cell>
          <cell r="M121">
            <v>2.09</v>
          </cell>
          <cell r="N121">
            <v>1.8922489353500971</v>
          </cell>
          <cell r="P121" t="str">
            <v/>
          </cell>
          <cell r="Q121">
            <v>15.927909612725285</v>
          </cell>
          <cell r="R121">
            <v>-19401.033514801446</v>
          </cell>
        </row>
        <row r="122">
          <cell r="C122">
            <v>45468</v>
          </cell>
          <cell r="D122">
            <v>17.02</v>
          </cell>
          <cell r="G122">
            <v>17.689899</v>
          </cell>
          <cell r="K122">
            <v>16.0639796</v>
          </cell>
          <cell r="L122">
            <v>15.781989899999999</v>
          </cell>
          <cell r="M122">
            <v>1.1000000000000014</v>
          </cell>
          <cell r="N122">
            <v>1.920352366195772</v>
          </cell>
          <cell r="P122" t="str">
            <v/>
          </cell>
          <cell r="Q122">
            <v>17.706411549741496</v>
          </cell>
          <cell r="R122">
            <v>-19411.312911685825</v>
          </cell>
        </row>
      </sheetData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E6C4-639B-42E2-99EE-43C3CE84ED1F}">
  <dimension ref="A1:Y122"/>
  <sheetViews>
    <sheetView tabSelected="1" zoomScale="60" workbookViewId="0">
      <selection activeCell="AA20" sqref="AA20"/>
    </sheetView>
  </sheetViews>
  <sheetFormatPr defaultRowHeight="14.5" x14ac:dyDescent="0.35"/>
  <sheetData>
    <row r="1" spans="1:25" ht="15.5" x14ac:dyDescent="0.35">
      <c r="A1" t="s">
        <v>0</v>
      </c>
      <c r="B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6" t="s">
        <v>11</v>
      </c>
      <c r="M1" t="s">
        <v>12</v>
      </c>
      <c r="N1" t="s">
        <v>13</v>
      </c>
      <c r="O1" t="s">
        <v>14</v>
      </c>
      <c r="P1" s="7" t="s">
        <v>15</v>
      </c>
      <c r="Q1" t="s">
        <v>16</v>
      </c>
      <c r="R1" t="s">
        <v>17</v>
      </c>
      <c r="S1" t="s">
        <v>18</v>
      </c>
      <c r="V1" t="s">
        <v>20</v>
      </c>
    </row>
    <row r="2" spans="1:25" ht="15.5" x14ac:dyDescent="0.35">
      <c r="A2">
        <v>1</v>
      </c>
      <c r="B2">
        <v>2014</v>
      </c>
      <c r="C2" s="8">
        <v>41821</v>
      </c>
      <c r="D2" s="9">
        <v>37.759998000000003</v>
      </c>
      <c r="E2" s="9">
        <v>37.950001</v>
      </c>
      <c r="F2" s="9">
        <v>35.880001</v>
      </c>
      <c r="G2" s="9">
        <v>36.220001000000003</v>
      </c>
      <c r="H2" s="10" t="str">
        <f t="shared" ref="H2:H65" si="0">TEXT(C2,"mmm-yy")</f>
        <v>Jul-14</v>
      </c>
      <c r="I2" s="4">
        <f>((G3 - G2) / G2)</f>
        <v>4.5831031313334214E-2</v>
      </c>
      <c r="J2" s="3">
        <f t="shared" ref="J2:J65" si="1">AVERAGEIF($H$2:$H$122,H2,$G$2:$G$122)</f>
        <v>36.220001000000003</v>
      </c>
      <c r="K2" s="11"/>
      <c r="M2">
        <f t="shared" ref="M2:M65" si="2">E2-F2</f>
        <v>2.0700000000000003</v>
      </c>
      <c r="O2" s="11">
        <f>F2+1</f>
        <v>36.880001</v>
      </c>
      <c r="Q2">
        <f>($W$3 * D2) + $W$3</f>
        <v>38.085487028588084</v>
      </c>
      <c r="R2">
        <f t="array" ref="R2:R122">_xlfn.FORECAST.LINEAR(C2:C122, G2:G122, A2:A122)</f>
        <v>-17849.27289346376</v>
      </c>
      <c r="S2" s="11" t="s">
        <v>19</v>
      </c>
      <c r="V2" t="s">
        <v>21</v>
      </c>
    </row>
    <row r="3" spans="1:25" ht="15.5" x14ac:dyDescent="0.35">
      <c r="A3">
        <v>2</v>
      </c>
      <c r="C3" s="8">
        <v>41852</v>
      </c>
      <c r="D3" s="9">
        <v>36.139999000000003</v>
      </c>
      <c r="E3" s="9">
        <v>38.119999</v>
      </c>
      <c r="F3" s="9">
        <v>35.700001</v>
      </c>
      <c r="G3" s="9">
        <v>37.880001</v>
      </c>
      <c r="H3" s="10" t="str">
        <f t="shared" si="0"/>
        <v>Aug-14</v>
      </c>
      <c r="I3" s="4">
        <f>((G4 - G3) / G3)</f>
        <v>6.0453984676505146E-2</v>
      </c>
      <c r="J3" s="3">
        <f t="shared" si="1"/>
        <v>37.880001</v>
      </c>
      <c r="K3" s="11"/>
      <c r="M3">
        <f t="shared" si="2"/>
        <v>2.4199979999999996</v>
      </c>
      <c r="O3">
        <f t="shared" ref="O3:O66" si="3">F3+1</f>
        <v>36.700001</v>
      </c>
      <c r="Q3">
        <f t="shared" ref="Q3:Q66" si="4">($W$3 * D3) + $W$3</f>
        <v>36.493679647668564</v>
      </c>
      <c r="R3">
        <v>-17862.550447772748</v>
      </c>
      <c r="S3">
        <v>16.48</v>
      </c>
      <c r="V3" t="s">
        <v>22</v>
      </c>
      <c r="W3">
        <f>SLOPE(G2:G122, D2:D122)</f>
        <v>0.98259775525757465</v>
      </c>
      <c r="Y3" t="s">
        <v>23</v>
      </c>
    </row>
    <row r="4" spans="1:25" ht="15.5" x14ac:dyDescent="0.35">
      <c r="A4">
        <v>3</v>
      </c>
      <c r="C4" s="8">
        <v>41883</v>
      </c>
      <c r="D4" s="9">
        <v>37.729999999999997</v>
      </c>
      <c r="E4" s="9">
        <v>42.310001</v>
      </c>
      <c r="F4" s="9">
        <v>37.599997999999999</v>
      </c>
      <c r="G4" s="9">
        <v>40.169998</v>
      </c>
      <c r="H4" s="10" t="str">
        <f t="shared" si="0"/>
        <v>Sep-14</v>
      </c>
      <c r="I4" s="4">
        <f t="shared" ref="I4:I67" si="5">((G5 - G4) / G4)</f>
        <v>-4.9778444101488415E-4</v>
      </c>
      <c r="J4" s="3">
        <f t="shared" si="1"/>
        <v>40.169998</v>
      </c>
      <c r="K4" s="11"/>
      <c r="M4">
        <f t="shared" si="2"/>
        <v>4.7100030000000004</v>
      </c>
      <c r="O4">
        <f t="shared" si="3"/>
        <v>38.599997999999999</v>
      </c>
      <c r="Q4">
        <f>($W$3 * D4) + $W$3</f>
        <v>38.056011061125858</v>
      </c>
      <c r="R4">
        <v>-17875.82800208174</v>
      </c>
      <c r="S4">
        <v>16.43</v>
      </c>
      <c r="V4" t="s">
        <v>24</v>
      </c>
      <c r="W4">
        <f>INTERCEPT(G2:G122, D2:D122)</f>
        <v>0.40576810413264752</v>
      </c>
    </row>
    <row r="5" spans="1:25" ht="15.5" x14ac:dyDescent="0.35">
      <c r="A5">
        <v>4</v>
      </c>
      <c r="C5" s="8">
        <v>41913</v>
      </c>
      <c r="D5" s="9">
        <v>40</v>
      </c>
      <c r="E5" s="9">
        <v>40.520000000000003</v>
      </c>
      <c r="F5" s="9">
        <v>33.110000999999997</v>
      </c>
      <c r="G5" s="9">
        <v>40.150002000000001</v>
      </c>
      <c r="H5" s="10" t="str">
        <f t="shared" si="0"/>
        <v>Oct-14</v>
      </c>
      <c r="I5" s="4">
        <f t="shared" si="5"/>
        <v>9.9875412210440134E-2</v>
      </c>
      <c r="J5" s="3">
        <f t="shared" si="1"/>
        <v>40.150002000000001</v>
      </c>
      <c r="K5" s="11"/>
      <c r="M5">
        <f t="shared" si="2"/>
        <v>7.4099990000000062</v>
      </c>
      <c r="O5">
        <f t="shared" si="3"/>
        <v>34.110000999999997</v>
      </c>
      <c r="Q5">
        <f t="shared" si="4"/>
        <v>40.28650796556056</v>
      </c>
      <c r="R5">
        <v>-17888.677248187214</v>
      </c>
      <c r="S5">
        <v>15.74</v>
      </c>
      <c r="V5" t="s">
        <v>20</v>
      </c>
      <c r="W5">
        <f>($W$3 * D2) + $W$3</f>
        <v>38.085487028588084</v>
      </c>
      <c r="Y5" t="s">
        <v>25</v>
      </c>
    </row>
    <row r="6" spans="1:25" ht="15.5" x14ac:dyDescent="0.35">
      <c r="A6">
        <v>5</v>
      </c>
      <c r="C6" s="8">
        <v>41944</v>
      </c>
      <c r="D6" s="9">
        <v>40.150002000000001</v>
      </c>
      <c r="E6" s="9">
        <v>44.439999</v>
      </c>
      <c r="F6" s="9">
        <v>39.610000999999997</v>
      </c>
      <c r="G6" s="9">
        <v>44.16</v>
      </c>
      <c r="H6" s="10" t="str">
        <f t="shared" si="0"/>
        <v>Nov-14</v>
      </c>
      <c r="I6" s="4">
        <f t="shared" si="5"/>
        <v>2.6494610507246465E-2</v>
      </c>
      <c r="J6" s="3">
        <f t="shared" si="1"/>
        <v>44.16</v>
      </c>
      <c r="K6" s="11">
        <f>IF(COUNTA(G2:G6)&lt;5,"",AVERAGE(G2:G6))</f>
        <v>39.716000399999999</v>
      </c>
      <c r="M6">
        <f t="shared" si="2"/>
        <v>4.8299980000000033</v>
      </c>
      <c r="O6">
        <f t="shared" si="3"/>
        <v>40.610000999999997</v>
      </c>
      <c r="Q6">
        <f t="shared" si="4"/>
        <v>40.433899594044703</v>
      </c>
      <c r="R6">
        <v>-17901.954802496202</v>
      </c>
      <c r="S6">
        <v>15.7</v>
      </c>
    </row>
    <row r="7" spans="1:25" ht="15.5" x14ac:dyDescent="0.35">
      <c r="A7">
        <v>6</v>
      </c>
      <c r="C7" s="8">
        <v>41974</v>
      </c>
      <c r="D7" s="9">
        <v>43.75</v>
      </c>
      <c r="E7" s="9">
        <v>46.310001</v>
      </c>
      <c r="F7" s="9">
        <v>41.860000999999997</v>
      </c>
      <c r="G7" s="9">
        <v>45.330002</v>
      </c>
      <c r="H7" s="10" t="str">
        <f t="shared" si="0"/>
        <v>Dec-14</v>
      </c>
      <c r="I7" s="4">
        <f t="shared" si="5"/>
        <v>-3.0222875348648714E-2</v>
      </c>
      <c r="J7" s="3">
        <f t="shared" si="1"/>
        <v>45.330002</v>
      </c>
      <c r="K7" s="11">
        <f t="shared" ref="K7:K70" si="6">IF(COUNTA(G3:G7)&lt;5,"",AVERAGE(G3:G7))</f>
        <v>41.538000600000004</v>
      </c>
      <c r="M7">
        <f t="shared" si="2"/>
        <v>4.4500000000000028</v>
      </c>
      <c r="O7">
        <f t="shared" si="3"/>
        <v>42.860000999999997</v>
      </c>
      <c r="Q7">
        <f t="shared" si="4"/>
        <v>43.971249547776466</v>
      </c>
      <c r="R7">
        <v>-17914.804048601676</v>
      </c>
      <c r="S7">
        <v>16.059999999999999</v>
      </c>
      <c r="Y7" t="s">
        <v>26</v>
      </c>
    </row>
    <row r="8" spans="1:25" ht="15.5" x14ac:dyDescent="0.35">
      <c r="A8">
        <v>7</v>
      </c>
      <c r="B8">
        <v>2015</v>
      </c>
      <c r="C8" s="8">
        <v>42005</v>
      </c>
      <c r="D8" s="9">
        <v>45.91</v>
      </c>
      <c r="E8" s="9">
        <v>47.439999</v>
      </c>
      <c r="F8" s="9">
        <v>43.830002</v>
      </c>
      <c r="G8" s="9">
        <v>43.959999000000003</v>
      </c>
      <c r="H8" s="12" t="str">
        <f t="shared" si="0"/>
        <v>Jan-15</v>
      </c>
      <c r="I8" s="4">
        <f t="shared" si="5"/>
        <v>6.8250683991129214E-4</v>
      </c>
      <c r="J8" s="3">
        <f t="shared" si="1"/>
        <v>43.959999000000003</v>
      </c>
      <c r="K8" s="11">
        <f t="shared" si="6"/>
        <v>42.7540002</v>
      </c>
      <c r="M8">
        <f t="shared" si="2"/>
        <v>3.6099969999999999</v>
      </c>
      <c r="O8">
        <f t="shared" si="3"/>
        <v>44.830002</v>
      </c>
      <c r="Q8">
        <f t="shared" si="4"/>
        <v>46.093660699132819</v>
      </c>
      <c r="R8">
        <v>-17928.081602910665</v>
      </c>
      <c r="S8" s="13">
        <f>SUM(S3:S7)/5</f>
        <v>16.082000000000001</v>
      </c>
    </row>
    <row r="9" spans="1:25" ht="15.5" x14ac:dyDescent="0.35">
      <c r="A9">
        <v>8</v>
      </c>
      <c r="C9" s="8">
        <v>42036</v>
      </c>
      <c r="D9" s="9">
        <v>43.82</v>
      </c>
      <c r="E9" s="9">
        <v>44.73</v>
      </c>
      <c r="F9" s="9">
        <v>42.509998000000003</v>
      </c>
      <c r="G9" s="9">
        <v>43.990001999999997</v>
      </c>
      <c r="H9" s="12" t="str">
        <f t="shared" si="0"/>
        <v>Feb-15</v>
      </c>
      <c r="I9" s="4">
        <f t="shared" si="5"/>
        <v>8.7519841440334714E-2</v>
      </c>
      <c r="J9" s="3">
        <f t="shared" si="1"/>
        <v>43.990001999999997</v>
      </c>
      <c r="K9" s="11">
        <f t="shared" si="6"/>
        <v>43.518001000000005</v>
      </c>
      <c r="M9">
        <f t="shared" si="2"/>
        <v>2.2200019999999938</v>
      </c>
      <c r="O9">
        <f t="shared" si="3"/>
        <v>43.509998000000003</v>
      </c>
      <c r="Q9">
        <f t="shared" si="4"/>
        <v>44.040031390644494</v>
      </c>
      <c r="R9">
        <v>-17941.359157219653</v>
      </c>
    </row>
    <row r="10" spans="1:25" ht="15.5" x14ac:dyDescent="0.35">
      <c r="A10">
        <v>9</v>
      </c>
      <c r="C10" s="8">
        <v>42064</v>
      </c>
      <c r="D10" s="9">
        <v>44.029998999999997</v>
      </c>
      <c r="E10" s="9">
        <v>48.080002</v>
      </c>
      <c r="F10" s="9">
        <v>43.740001999999997</v>
      </c>
      <c r="G10" s="9">
        <v>47.84</v>
      </c>
      <c r="H10" s="12" t="str">
        <f t="shared" si="0"/>
        <v>Mar-15</v>
      </c>
      <c r="I10" s="4">
        <f t="shared" si="5"/>
        <v>-8.0894627926421395E-2</v>
      </c>
      <c r="J10" s="3">
        <f t="shared" si="1"/>
        <v>47.84</v>
      </c>
      <c r="K10" s="11">
        <f t="shared" si="6"/>
        <v>45.056000600000004</v>
      </c>
      <c r="M10">
        <f t="shared" si="2"/>
        <v>4.3400000000000034</v>
      </c>
      <c r="O10">
        <f t="shared" si="3"/>
        <v>44.740001999999997</v>
      </c>
      <c r="Q10">
        <f t="shared" si="4"/>
        <v>44.246375936650828</v>
      </c>
      <c r="R10">
        <v>-17953.351786918094</v>
      </c>
      <c r="S10" s="6" t="s">
        <v>11</v>
      </c>
    </row>
    <row r="11" spans="1:25" ht="15.5" x14ac:dyDescent="0.35">
      <c r="A11">
        <v>10</v>
      </c>
      <c r="C11" s="8">
        <v>42095</v>
      </c>
      <c r="D11" s="9">
        <v>47.810001</v>
      </c>
      <c r="E11" s="9">
        <v>49.209999000000003</v>
      </c>
      <c r="F11" s="9">
        <v>43.689999</v>
      </c>
      <c r="G11" s="9">
        <v>43.970001000000003</v>
      </c>
      <c r="H11" s="12" t="str">
        <f t="shared" si="0"/>
        <v>Apr-15</v>
      </c>
      <c r="I11" s="4">
        <f t="shared" si="5"/>
        <v>5.3672980357676058E-2</v>
      </c>
      <c r="J11" s="3">
        <f t="shared" si="1"/>
        <v>43.970001000000003</v>
      </c>
      <c r="K11" s="11">
        <f t="shared" si="6"/>
        <v>45.018000799999996</v>
      </c>
      <c r="L11" s="11">
        <f>IF(COUNTA(G2:G11)&lt;10,"",AVERAGE(G2:G11))</f>
        <v>42.367000600000004</v>
      </c>
      <c r="M11">
        <f t="shared" si="2"/>
        <v>5.5200000000000031</v>
      </c>
      <c r="N11">
        <f t="shared" ref="N11:N74" si="7">STDEV(G2:G11)</f>
        <v>3.6109402748378803</v>
      </c>
      <c r="O11">
        <f t="shared" si="3"/>
        <v>44.689999</v>
      </c>
      <c r="P11">
        <f>IF(COUNTA(G2:G13)&lt;12,"",AVERAGE(G2:G13))</f>
        <v>43.282500583333338</v>
      </c>
      <c r="Q11">
        <f t="shared" si="4"/>
        <v>47.96059741671997</v>
      </c>
      <c r="R11">
        <v>-17966.629341227086</v>
      </c>
      <c r="S11">
        <v>13.07</v>
      </c>
    </row>
    <row r="12" spans="1:25" ht="15.5" x14ac:dyDescent="0.35">
      <c r="A12">
        <v>11</v>
      </c>
      <c r="C12" s="8">
        <v>42125</v>
      </c>
      <c r="D12" s="9">
        <v>43.880001</v>
      </c>
      <c r="E12" s="9">
        <v>48.560001</v>
      </c>
      <c r="F12" s="9">
        <v>43.099997999999999</v>
      </c>
      <c r="G12" s="9">
        <v>46.330002</v>
      </c>
      <c r="H12" s="12" t="str">
        <f t="shared" si="0"/>
        <v>May-15</v>
      </c>
      <c r="I12" s="4">
        <f t="shared" si="5"/>
        <v>6.6047849512288009E-2</v>
      </c>
      <c r="J12" s="3">
        <f t="shared" si="1"/>
        <v>46.330002</v>
      </c>
      <c r="K12" s="11">
        <f t="shared" si="6"/>
        <v>45.218000800000006</v>
      </c>
      <c r="L12" s="11">
        <f t="shared" ref="L12:L75" si="8">IF(COUNTA(G3:G12)&lt;10,"",AVERAGE(G3:G12))</f>
        <v>43.378000700000001</v>
      </c>
      <c r="M12">
        <f t="shared" si="2"/>
        <v>5.4600030000000004</v>
      </c>
      <c r="N12">
        <f t="shared" si="7"/>
        <v>3.074059404616821</v>
      </c>
      <c r="O12">
        <f t="shared" si="3"/>
        <v>44.099997999999999</v>
      </c>
      <c r="P12">
        <f t="shared" ref="P12:P75" si="9">IF(COUNTA(G3:G14)&lt;12,"",AVERAGE(G3:G14))</f>
        <v>44.705000583333337</v>
      </c>
      <c r="Q12">
        <f t="shared" si="4"/>
        <v>44.098988238557702</v>
      </c>
      <c r="R12">
        <v>-17979.47858733256</v>
      </c>
      <c r="S12">
        <v>13.49</v>
      </c>
    </row>
    <row r="13" spans="1:25" ht="15.5" x14ac:dyDescent="0.35">
      <c r="A13">
        <v>12</v>
      </c>
      <c r="C13" s="8">
        <v>42156</v>
      </c>
      <c r="D13" s="9">
        <v>46.490001999999997</v>
      </c>
      <c r="E13" s="9">
        <v>51</v>
      </c>
      <c r="F13" s="9">
        <v>46.25</v>
      </c>
      <c r="G13" s="9">
        <v>49.389999000000003</v>
      </c>
      <c r="H13" s="12" t="str">
        <f t="shared" si="0"/>
        <v>Jun-15</v>
      </c>
      <c r="I13" s="4">
        <f t="shared" si="5"/>
        <v>7.8963394998246367E-2</v>
      </c>
      <c r="J13" s="3">
        <f t="shared" si="1"/>
        <v>49.389999000000003</v>
      </c>
      <c r="K13" s="11">
        <f t="shared" si="6"/>
        <v>46.304000800000004</v>
      </c>
      <c r="L13" s="11">
        <f t="shared" si="8"/>
        <v>44.529000500000002</v>
      </c>
      <c r="M13">
        <f t="shared" si="2"/>
        <v>4.75</v>
      </c>
      <c r="N13">
        <f t="shared" si="7"/>
        <v>2.938568972779108</v>
      </c>
      <c r="O13">
        <f t="shared" si="3"/>
        <v>47.25</v>
      </c>
      <c r="P13">
        <f t="shared" si="9"/>
        <v>45.650833833333337</v>
      </c>
      <c r="Q13">
        <f t="shared" si="4"/>
        <v>46.663569362377721</v>
      </c>
      <c r="R13">
        <v>-17992.756141641548</v>
      </c>
      <c r="S13">
        <v>14.29</v>
      </c>
    </row>
    <row r="14" spans="1:25" ht="15.5" x14ac:dyDescent="0.35">
      <c r="A14">
        <v>13</v>
      </c>
      <c r="C14" s="8">
        <v>42186</v>
      </c>
      <c r="D14" s="9">
        <v>49.91</v>
      </c>
      <c r="E14" s="9">
        <v>54.049999</v>
      </c>
      <c r="F14" s="9">
        <v>48.57</v>
      </c>
      <c r="G14" s="9">
        <v>53.290000999999997</v>
      </c>
      <c r="H14" s="12" t="str">
        <f t="shared" si="0"/>
        <v>Jul-15</v>
      </c>
      <c r="I14" s="4">
        <f t="shared" si="5"/>
        <v>-7.618691919333985E-2</v>
      </c>
      <c r="J14" s="3">
        <f t="shared" si="1"/>
        <v>53.290000999999997</v>
      </c>
      <c r="K14" s="11">
        <f t="shared" si="6"/>
        <v>48.164000600000001</v>
      </c>
      <c r="L14" s="11">
        <f t="shared" si="8"/>
        <v>45.841000800000003</v>
      </c>
      <c r="M14">
        <f t="shared" si="2"/>
        <v>5.4799989999999994</v>
      </c>
      <c r="N14">
        <f t="shared" si="7"/>
        <v>3.6248749796680895</v>
      </c>
      <c r="O14">
        <f t="shared" si="3"/>
        <v>49.57</v>
      </c>
      <c r="P14">
        <f t="shared" si="9"/>
        <v>46.445000750000013</v>
      </c>
      <c r="Q14">
        <f t="shared" si="4"/>
        <v>50.024051720163122</v>
      </c>
      <c r="R14">
        <v>-18005.605387747022</v>
      </c>
      <c r="S14">
        <v>14.93</v>
      </c>
    </row>
    <row r="15" spans="1:25" ht="15.5" x14ac:dyDescent="0.35">
      <c r="A15">
        <v>14</v>
      </c>
      <c r="C15" s="8">
        <v>42217</v>
      </c>
      <c r="D15" s="9">
        <v>53.150002000000001</v>
      </c>
      <c r="E15" s="9">
        <v>53.18</v>
      </c>
      <c r="F15" s="9">
        <v>44.720001000000003</v>
      </c>
      <c r="G15" s="9">
        <v>49.23</v>
      </c>
      <c r="H15" s="12" t="str">
        <f t="shared" si="0"/>
        <v>Aug-15</v>
      </c>
      <c r="I15" s="4">
        <f t="shared" si="5"/>
        <v>9.54704448507015E-3</v>
      </c>
      <c r="J15" s="3">
        <f t="shared" si="1"/>
        <v>49.23</v>
      </c>
      <c r="K15" s="11">
        <f t="shared" si="6"/>
        <v>48.442000599999993</v>
      </c>
      <c r="L15" s="11">
        <f t="shared" si="8"/>
        <v>46.749000600000002</v>
      </c>
      <c r="M15">
        <f t="shared" si="2"/>
        <v>8.4599989999999963</v>
      </c>
      <c r="N15">
        <f t="shared" si="7"/>
        <v>3.1466151025438318</v>
      </c>
      <c r="O15">
        <f t="shared" si="3"/>
        <v>45.720001000000003</v>
      </c>
      <c r="P15">
        <f t="shared" si="9"/>
        <v>47.605834083333342</v>
      </c>
      <c r="Q15">
        <f t="shared" si="4"/>
        <v>53.207670412393178</v>
      </c>
      <c r="R15">
        <v>-18018.882942056011</v>
      </c>
      <c r="S15">
        <v>15.59</v>
      </c>
    </row>
    <row r="16" spans="1:25" ht="15.5" x14ac:dyDescent="0.35">
      <c r="A16">
        <v>15</v>
      </c>
      <c r="C16" s="8">
        <v>42248</v>
      </c>
      <c r="D16" s="9">
        <v>48.110000999999997</v>
      </c>
      <c r="E16" s="9">
        <v>53.540000999999997</v>
      </c>
      <c r="F16" s="9">
        <v>47.419998</v>
      </c>
      <c r="G16" s="9">
        <v>49.700001</v>
      </c>
      <c r="H16" s="12" t="str">
        <f t="shared" si="0"/>
        <v>Sep-15</v>
      </c>
      <c r="I16" s="4">
        <f t="shared" si="5"/>
        <v>8.8128790983324129E-2</v>
      </c>
      <c r="J16" s="3">
        <f t="shared" si="1"/>
        <v>49.700001</v>
      </c>
      <c r="K16" s="11">
        <f t="shared" si="6"/>
        <v>49.588000600000001</v>
      </c>
      <c r="L16" s="11">
        <f t="shared" si="8"/>
        <v>47.303000699999998</v>
      </c>
      <c r="M16">
        <f t="shared" si="2"/>
        <v>6.120002999999997</v>
      </c>
      <c r="N16">
        <f t="shared" si="7"/>
        <v>3.1277787215354969</v>
      </c>
      <c r="O16">
        <f t="shared" si="3"/>
        <v>48.419998</v>
      </c>
      <c r="P16">
        <f t="shared" si="9"/>
        <v>48.136667333333328</v>
      </c>
      <c r="Q16">
        <f t="shared" si="4"/>
        <v>48.255376743297241</v>
      </c>
      <c r="R16">
        <v>-18032.160496364999</v>
      </c>
      <c r="S16">
        <v>16.11</v>
      </c>
    </row>
    <row r="17" spans="1:19" ht="15.5" x14ac:dyDescent="0.35">
      <c r="A17">
        <v>16</v>
      </c>
      <c r="C17" s="8">
        <v>42278</v>
      </c>
      <c r="D17" s="9">
        <v>50.009998000000003</v>
      </c>
      <c r="E17" s="9">
        <v>54.59</v>
      </c>
      <c r="F17" s="9">
        <v>48.240001999999997</v>
      </c>
      <c r="G17" s="9">
        <v>54.080002</v>
      </c>
      <c r="H17" s="12" t="str">
        <f t="shared" si="0"/>
        <v>Oct-15</v>
      </c>
      <c r="I17" s="4">
        <f t="shared" si="5"/>
        <v>-6.5643544169987342E-2</v>
      </c>
      <c r="J17" s="3">
        <f t="shared" si="1"/>
        <v>54.080002</v>
      </c>
      <c r="K17" s="11">
        <f t="shared" si="6"/>
        <v>51.138000600000005</v>
      </c>
      <c r="L17" s="11">
        <f t="shared" si="8"/>
        <v>48.178000699999998</v>
      </c>
      <c r="M17">
        <f t="shared" si="2"/>
        <v>6.3499980000000065</v>
      </c>
      <c r="N17">
        <f t="shared" si="7"/>
        <v>3.6882059825583378</v>
      </c>
      <c r="O17">
        <f t="shared" si="3"/>
        <v>49.240001999999997</v>
      </c>
      <c r="P17">
        <f t="shared" si="9"/>
        <v>48.899167166666672</v>
      </c>
      <c r="Q17">
        <f t="shared" si="4"/>
        <v>50.122309530493375</v>
      </c>
      <c r="R17">
        <v>-18045.009742470473</v>
      </c>
      <c r="S17">
        <v>15.7</v>
      </c>
    </row>
    <row r="18" spans="1:19" ht="15.5" x14ac:dyDescent="0.35">
      <c r="A18">
        <v>17</v>
      </c>
      <c r="C18" s="8">
        <v>42309</v>
      </c>
      <c r="D18" s="9">
        <v>54.290000999999997</v>
      </c>
      <c r="E18" s="9">
        <v>54.560001</v>
      </c>
      <c r="F18" s="9">
        <v>49.73</v>
      </c>
      <c r="G18" s="9">
        <v>50.529998999999997</v>
      </c>
      <c r="H18" s="12" t="str">
        <f t="shared" si="0"/>
        <v>Nov-15</v>
      </c>
      <c r="I18" s="4">
        <f t="shared" si="5"/>
        <v>7.817140467388492E-2</v>
      </c>
      <c r="J18" s="3">
        <f t="shared" si="1"/>
        <v>50.529998999999997</v>
      </c>
      <c r="K18" s="11">
        <f t="shared" si="6"/>
        <v>51.366000599999992</v>
      </c>
      <c r="L18" s="11">
        <f t="shared" si="8"/>
        <v>48.835000700000002</v>
      </c>
      <c r="M18">
        <f t="shared" si="2"/>
        <v>4.8300010000000029</v>
      </c>
      <c r="N18">
        <f t="shared" si="7"/>
        <v>3.4294417749510075</v>
      </c>
      <c r="O18">
        <f t="shared" si="3"/>
        <v>50.73</v>
      </c>
      <c r="P18">
        <f t="shared" si="9"/>
        <v>49.246667333333335</v>
      </c>
      <c r="Q18">
        <f t="shared" si="4"/>
        <v>54.32783087078905</v>
      </c>
      <c r="R18">
        <v>-18058.287296779465</v>
      </c>
      <c r="S18">
        <v>15.33</v>
      </c>
    </row>
    <row r="19" spans="1:19" ht="15.5" x14ac:dyDescent="0.35">
      <c r="A19">
        <v>18</v>
      </c>
      <c r="C19" s="8">
        <v>42339</v>
      </c>
      <c r="D19" s="9">
        <v>51.130001</v>
      </c>
      <c r="E19" s="9">
        <v>55.77</v>
      </c>
      <c r="F19" s="9">
        <v>49.150002000000001</v>
      </c>
      <c r="G19" s="9">
        <v>54.48</v>
      </c>
      <c r="H19" s="12" t="str">
        <f t="shared" si="0"/>
        <v>Dec-15</v>
      </c>
      <c r="I19" s="4">
        <f t="shared" si="5"/>
        <v>-0.11655651615271655</v>
      </c>
      <c r="J19" s="3">
        <f t="shared" si="1"/>
        <v>54.48</v>
      </c>
      <c r="K19" s="11">
        <f t="shared" si="6"/>
        <v>51.604000400000004</v>
      </c>
      <c r="L19" s="11">
        <f t="shared" si="8"/>
        <v>49.884000499999999</v>
      </c>
      <c r="M19">
        <f t="shared" si="2"/>
        <v>6.6199980000000025</v>
      </c>
      <c r="N19">
        <f t="shared" si="7"/>
        <v>3.3868641162915551</v>
      </c>
      <c r="O19">
        <f t="shared" si="3"/>
        <v>50.150002000000001</v>
      </c>
      <c r="P19">
        <f t="shared" si="9"/>
        <v>49.577500416666673</v>
      </c>
      <c r="Q19">
        <f t="shared" si="4"/>
        <v>51.222821964175118</v>
      </c>
      <c r="R19">
        <v>-18071.136542884935</v>
      </c>
      <c r="S19">
        <v>15.39</v>
      </c>
    </row>
    <row r="20" spans="1:19" ht="15.5" x14ac:dyDescent="0.35">
      <c r="A20">
        <v>19</v>
      </c>
      <c r="B20">
        <v>2016</v>
      </c>
      <c r="C20" s="8">
        <v>42370</v>
      </c>
      <c r="D20" s="9">
        <v>54.16</v>
      </c>
      <c r="E20" s="9">
        <v>54.900002000000001</v>
      </c>
      <c r="F20" s="9">
        <v>45.810001</v>
      </c>
      <c r="G20" s="9">
        <v>48.130001</v>
      </c>
      <c r="H20" s="10" t="str">
        <f t="shared" si="0"/>
        <v>Jan-16</v>
      </c>
      <c r="I20" s="4">
        <f t="shared" si="5"/>
        <v>-3.53214204171732E-3</v>
      </c>
      <c r="J20" s="3">
        <f t="shared" si="1"/>
        <v>48.130001</v>
      </c>
      <c r="K20" s="11">
        <f t="shared" si="6"/>
        <v>51.3840006</v>
      </c>
      <c r="L20" s="11">
        <f t="shared" si="8"/>
        <v>49.91300059999999</v>
      </c>
      <c r="M20">
        <f t="shared" si="2"/>
        <v>9.0900010000000009</v>
      </c>
      <c r="N20">
        <f t="shared" si="7"/>
        <v>3.3686100500554348</v>
      </c>
      <c r="O20">
        <f>F20+1</f>
        <v>46.810001</v>
      </c>
      <c r="P20">
        <f t="shared" si="9"/>
        <v>49.988333749999988</v>
      </c>
      <c r="Q20">
        <f t="shared" si="4"/>
        <v>54.200092180007815</v>
      </c>
      <c r="R20">
        <v>-18084.414097193927</v>
      </c>
      <c r="S20">
        <v>15.78</v>
      </c>
    </row>
    <row r="21" spans="1:19" ht="15.5" x14ac:dyDescent="0.35">
      <c r="A21">
        <v>20</v>
      </c>
      <c r="C21" s="8">
        <v>42401</v>
      </c>
      <c r="D21" s="9">
        <v>48.099997999999999</v>
      </c>
      <c r="E21" s="9">
        <v>49.130001</v>
      </c>
      <c r="F21" s="9">
        <v>40.520000000000003</v>
      </c>
      <c r="G21" s="9">
        <v>47.959999000000003</v>
      </c>
      <c r="H21" s="10" t="str">
        <f t="shared" si="0"/>
        <v>Feb-16</v>
      </c>
      <c r="I21" s="4">
        <f t="shared" si="5"/>
        <v>0.10029193286680425</v>
      </c>
      <c r="J21" s="3">
        <f t="shared" si="1"/>
        <v>47.959999000000003</v>
      </c>
      <c r="K21" s="11">
        <f t="shared" si="6"/>
        <v>51.036000200000004</v>
      </c>
      <c r="L21" s="11">
        <f t="shared" si="8"/>
        <v>50.312000399999995</v>
      </c>
      <c r="M21">
        <f t="shared" si="2"/>
        <v>8.6100009999999969</v>
      </c>
      <c r="N21">
        <f t="shared" si="7"/>
        <v>2.7694918431608904</v>
      </c>
      <c r="O21">
        <f t="shared" si="3"/>
        <v>41.52</v>
      </c>
      <c r="P21">
        <f t="shared" si="9"/>
        <v>50.411666916666661</v>
      </c>
      <c r="Q21">
        <f t="shared" si="4"/>
        <v>48.245547817951405</v>
      </c>
      <c r="R21">
        <v>-18097.691651502915</v>
      </c>
      <c r="S21" s="13">
        <f>SUM(S11:S20)/10</f>
        <v>14.968</v>
      </c>
    </row>
    <row r="22" spans="1:19" ht="15.5" x14ac:dyDescent="0.35">
      <c r="A22">
        <v>21</v>
      </c>
      <c r="C22" s="8">
        <v>42430</v>
      </c>
      <c r="D22" s="9">
        <v>48.59</v>
      </c>
      <c r="E22" s="9">
        <v>53.049999</v>
      </c>
      <c r="F22" s="9">
        <v>45.740001999999997</v>
      </c>
      <c r="G22" s="9">
        <v>52.77</v>
      </c>
      <c r="H22" s="10" t="str">
        <f t="shared" si="0"/>
        <v>Mar-16</v>
      </c>
      <c r="I22" s="4">
        <f t="shared" si="5"/>
        <v>-7.0494618154254368E-2</v>
      </c>
      <c r="J22" s="3">
        <f t="shared" si="1"/>
        <v>52.77</v>
      </c>
      <c r="K22" s="11">
        <f t="shared" si="6"/>
        <v>50.773999799999999</v>
      </c>
      <c r="L22" s="11">
        <f t="shared" si="8"/>
        <v>50.956000199999998</v>
      </c>
      <c r="M22">
        <f t="shared" si="2"/>
        <v>7.3099970000000027</v>
      </c>
      <c r="N22">
        <f t="shared" si="7"/>
        <v>2.4736131687160596</v>
      </c>
      <c r="O22">
        <f t="shared" si="3"/>
        <v>46.740001999999997</v>
      </c>
      <c r="P22">
        <f t="shared" si="9"/>
        <v>50.529166916666668</v>
      </c>
      <c r="Q22">
        <f t="shared" si="4"/>
        <v>48.727022683223126</v>
      </c>
      <c r="R22">
        <v>-18110.112589404871</v>
      </c>
    </row>
    <row r="23" spans="1:19" ht="15.5" x14ac:dyDescent="0.35">
      <c r="A23">
        <v>22</v>
      </c>
      <c r="C23" s="8">
        <v>42461</v>
      </c>
      <c r="D23" s="9">
        <v>52.200001</v>
      </c>
      <c r="E23" s="9">
        <v>53.209999000000003</v>
      </c>
      <c r="F23" s="9">
        <v>48.130001</v>
      </c>
      <c r="G23" s="9">
        <v>49.049999</v>
      </c>
      <c r="H23" s="10" t="str">
        <f t="shared" si="0"/>
        <v>Apr-16</v>
      </c>
      <c r="I23" s="4">
        <f t="shared" si="5"/>
        <v>-2.6707380768753997E-2</v>
      </c>
      <c r="J23" s="3">
        <f t="shared" si="1"/>
        <v>49.049999</v>
      </c>
      <c r="K23" s="11">
        <f t="shared" si="6"/>
        <v>50.477999799999999</v>
      </c>
      <c r="L23" s="11">
        <f t="shared" si="8"/>
        <v>50.922000199999999</v>
      </c>
      <c r="M23">
        <f t="shared" si="2"/>
        <v>5.0799980000000033</v>
      </c>
      <c r="N23">
        <f t="shared" si="7"/>
        <v>2.4997284250718463</v>
      </c>
      <c r="O23">
        <f t="shared" si="3"/>
        <v>49.130001</v>
      </c>
      <c r="P23">
        <f t="shared" si="9"/>
        <v>50.09666708333333</v>
      </c>
      <c r="Q23">
        <f t="shared" si="4"/>
        <v>52.274201562300725</v>
      </c>
      <c r="R23">
        <v>-18123.390143713863</v>
      </c>
      <c r="S23" s="7" t="s">
        <v>15</v>
      </c>
    </row>
    <row r="24" spans="1:19" ht="15.5" x14ac:dyDescent="0.35">
      <c r="A24">
        <v>23</v>
      </c>
      <c r="C24" s="8">
        <v>42491</v>
      </c>
      <c r="D24" s="9">
        <v>49.330002</v>
      </c>
      <c r="E24" s="9">
        <v>51.290000999999997</v>
      </c>
      <c r="F24" s="9">
        <v>47.299999</v>
      </c>
      <c r="G24" s="9">
        <v>47.740001999999997</v>
      </c>
      <c r="H24" s="10" t="str">
        <f t="shared" si="0"/>
        <v>May-16</v>
      </c>
      <c r="I24" s="4">
        <f t="shared" si="5"/>
        <v>-7.4151672637131363E-2</v>
      </c>
      <c r="J24" s="3">
        <f t="shared" si="1"/>
        <v>47.740001999999997</v>
      </c>
      <c r="K24" s="11">
        <f t="shared" si="6"/>
        <v>49.130000200000005</v>
      </c>
      <c r="L24" s="11">
        <f t="shared" si="8"/>
        <v>50.367000300000001</v>
      </c>
      <c r="M24">
        <f t="shared" si="2"/>
        <v>3.9900019999999969</v>
      </c>
      <c r="N24">
        <f t="shared" si="7"/>
        <v>2.5314733447805997</v>
      </c>
      <c r="O24">
        <f t="shared" si="3"/>
        <v>48.299999</v>
      </c>
      <c r="P24">
        <f t="shared" si="9"/>
        <v>49.549167083333337</v>
      </c>
      <c r="Q24">
        <f t="shared" si="4"/>
        <v>49.454146987309244</v>
      </c>
      <c r="R24">
        <v>-18136.239389819337</v>
      </c>
      <c r="S24">
        <v>11.633333329999999</v>
      </c>
    </row>
    <row r="25" spans="1:19" ht="15.5" x14ac:dyDescent="0.35">
      <c r="A25">
        <v>24</v>
      </c>
      <c r="C25" s="8">
        <v>42522</v>
      </c>
      <c r="D25" s="9">
        <v>47.279998999999997</v>
      </c>
      <c r="E25" s="9">
        <v>50</v>
      </c>
      <c r="F25" s="9">
        <v>42.939999</v>
      </c>
      <c r="G25" s="9">
        <v>44.200001</v>
      </c>
      <c r="H25" s="10" t="str">
        <f t="shared" si="0"/>
        <v>Jun-16</v>
      </c>
      <c r="I25" s="4">
        <f t="shared" si="5"/>
        <v>5.7013573370733706E-2</v>
      </c>
      <c r="J25" s="3">
        <f t="shared" si="1"/>
        <v>44.200001</v>
      </c>
      <c r="K25" s="11">
        <f t="shared" si="6"/>
        <v>48.344000200000004</v>
      </c>
      <c r="L25" s="11">
        <f t="shared" si="8"/>
        <v>49.864000399999995</v>
      </c>
      <c r="M25">
        <f t="shared" si="2"/>
        <v>7.0600009999999997</v>
      </c>
      <c r="N25">
        <f t="shared" si="7"/>
        <v>3.1952088672471337</v>
      </c>
      <c r="O25">
        <f t="shared" si="3"/>
        <v>43.939999</v>
      </c>
      <c r="P25">
        <f t="shared" si="9"/>
        <v>49.430000333333332</v>
      </c>
      <c r="Q25">
        <f t="shared" si="4"/>
        <v>47.439818641237942</v>
      </c>
      <c r="R25">
        <v>-18149.516944128325</v>
      </c>
      <c r="S25">
        <v>12.19083333</v>
      </c>
    </row>
    <row r="26" spans="1:19" ht="15.5" x14ac:dyDescent="0.35">
      <c r="A26">
        <v>25</v>
      </c>
      <c r="C26" s="8">
        <v>42552</v>
      </c>
      <c r="D26" s="9">
        <v>44.720001000000003</v>
      </c>
      <c r="E26" s="9">
        <v>47.41</v>
      </c>
      <c r="F26" s="9">
        <v>43.060001</v>
      </c>
      <c r="G26" s="9">
        <v>46.720001000000003</v>
      </c>
      <c r="H26" s="10" t="str">
        <f t="shared" si="0"/>
        <v>Jul-16</v>
      </c>
      <c r="I26" s="4">
        <f t="shared" si="5"/>
        <v>2.311639505315927E-2</v>
      </c>
      <c r="J26" s="3">
        <f t="shared" si="1"/>
        <v>46.720001000000003</v>
      </c>
      <c r="K26" s="11">
        <f t="shared" si="6"/>
        <v>48.096000599999996</v>
      </c>
      <c r="L26" s="11">
        <f t="shared" si="8"/>
        <v>49.5660004</v>
      </c>
      <c r="M26">
        <f t="shared" si="2"/>
        <v>4.3499989999999968</v>
      </c>
      <c r="N26">
        <f t="shared" si="7"/>
        <v>3.3475369680476743</v>
      </c>
      <c r="O26">
        <f t="shared" si="3"/>
        <v>44.060001</v>
      </c>
      <c r="P26">
        <f t="shared" si="9"/>
        <v>49.356666916666676</v>
      </c>
      <c r="Q26">
        <f t="shared" si="4"/>
        <v>44.924370352974066</v>
      </c>
      <c r="R26">
        <v>-18162.366190233799</v>
      </c>
      <c r="S26">
        <v>12.39083333</v>
      </c>
    </row>
    <row r="27" spans="1:19" ht="15.5" x14ac:dyDescent="0.35">
      <c r="A27">
        <v>26</v>
      </c>
      <c r="C27" s="8">
        <v>42583</v>
      </c>
      <c r="D27" s="9">
        <v>46.580002</v>
      </c>
      <c r="E27" s="9">
        <v>47.98</v>
      </c>
      <c r="F27" s="9">
        <v>45.009998000000003</v>
      </c>
      <c r="G27" s="9">
        <v>47.799999</v>
      </c>
      <c r="H27" s="10" t="str">
        <f t="shared" si="0"/>
        <v>Aug-16</v>
      </c>
      <c r="I27" s="4">
        <f t="shared" si="5"/>
        <v>2.1338933500814523E-2</v>
      </c>
      <c r="J27" s="3">
        <f t="shared" si="1"/>
        <v>47.799999</v>
      </c>
      <c r="K27" s="11">
        <f t="shared" si="6"/>
        <v>47.102000399999994</v>
      </c>
      <c r="L27" s="11">
        <f t="shared" si="8"/>
        <v>48.938000100000004</v>
      </c>
      <c r="M27">
        <f t="shared" si="2"/>
        <v>2.9700019999999938</v>
      </c>
      <c r="N27">
        <f t="shared" si="7"/>
        <v>2.9749461340410268</v>
      </c>
      <c r="O27">
        <f t="shared" si="3"/>
        <v>46.009998000000003</v>
      </c>
      <c r="P27">
        <f t="shared" si="9"/>
        <v>48.941666583333337</v>
      </c>
      <c r="Q27">
        <f t="shared" si="4"/>
        <v>46.75200316035091</v>
      </c>
      <c r="R27">
        <v>-18175.643744542787</v>
      </c>
      <c r="S27">
        <v>12.81833333</v>
      </c>
    </row>
    <row r="28" spans="1:19" ht="15.5" x14ac:dyDescent="0.35">
      <c r="A28">
        <v>27</v>
      </c>
      <c r="C28" s="8">
        <v>42614</v>
      </c>
      <c r="D28" s="9">
        <v>48.049999</v>
      </c>
      <c r="E28" s="9">
        <v>49.23</v>
      </c>
      <c r="F28" s="9">
        <v>44.110000999999997</v>
      </c>
      <c r="G28" s="9">
        <v>48.82</v>
      </c>
      <c r="H28" s="10" t="str">
        <f t="shared" si="0"/>
        <v>Sep-16</v>
      </c>
      <c r="I28" s="4">
        <f t="shared" si="5"/>
        <v>5.7353133961491002E-3</v>
      </c>
      <c r="J28" s="3">
        <f t="shared" si="1"/>
        <v>48.82</v>
      </c>
      <c r="K28" s="11">
        <f t="shared" si="6"/>
        <v>47.05600059999999</v>
      </c>
      <c r="L28" s="11">
        <f t="shared" si="8"/>
        <v>48.767000199999998</v>
      </c>
      <c r="M28">
        <f t="shared" si="2"/>
        <v>5.119999</v>
      </c>
      <c r="N28">
        <f t="shared" si="7"/>
        <v>2.9219436904607328</v>
      </c>
      <c r="O28">
        <f t="shared" si="3"/>
        <v>45.110000999999997</v>
      </c>
      <c r="P28">
        <f t="shared" si="9"/>
        <v>49.014999999999993</v>
      </c>
      <c r="Q28">
        <f t="shared" si="4"/>
        <v>48.196418912786278</v>
      </c>
      <c r="R28">
        <v>-18188.921298851776</v>
      </c>
      <c r="S28">
        <v>13.69166675</v>
      </c>
    </row>
    <row r="29" spans="1:19" ht="15.5" x14ac:dyDescent="0.35">
      <c r="A29">
        <v>28</v>
      </c>
      <c r="C29" s="8">
        <v>42644</v>
      </c>
      <c r="D29" s="9">
        <v>48.740001999999997</v>
      </c>
      <c r="E29" s="9">
        <v>49.639999000000003</v>
      </c>
      <c r="F29" s="9">
        <v>45.919998</v>
      </c>
      <c r="G29" s="9">
        <v>49.099997999999999</v>
      </c>
      <c r="H29" s="10" t="str">
        <f t="shared" si="0"/>
        <v>Oct-16</v>
      </c>
      <c r="I29" s="4">
        <f t="shared" si="5"/>
        <v>4.7046885826757007E-2</v>
      </c>
      <c r="J29" s="3">
        <f t="shared" si="1"/>
        <v>49.099997999999999</v>
      </c>
      <c r="K29" s="11">
        <f t="shared" si="6"/>
        <v>47.327999800000001</v>
      </c>
      <c r="L29" s="11">
        <f t="shared" si="8"/>
        <v>48.229000000000006</v>
      </c>
      <c r="M29">
        <f t="shared" si="2"/>
        <v>3.7200010000000034</v>
      </c>
      <c r="N29">
        <f t="shared" si="7"/>
        <v>2.145223972767154</v>
      </c>
      <c r="O29">
        <f t="shared" si="3"/>
        <v>46.919998</v>
      </c>
      <c r="P29">
        <f t="shared" si="9"/>
        <v>48.813333416666673</v>
      </c>
      <c r="Q29">
        <f t="shared" si="4"/>
        <v>48.87441431170727</v>
      </c>
      <c r="R29">
        <v>-18201.77054495725</v>
      </c>
      <c r="S29">
        <v>14.17166675</v>
      </c>
    </row>
    <row r="30" spans="1:19" ht="15.5" x14ac:dyDescent="0.35">
      <c r="A30">
        <v>29</v>
      </c>
      <c r="C30" s="8">
        <v>42675</v>
      </c>
      <c r="D30" s="9">
        <v>49.09</v>
      </c>
      <c r="E30" s="9">
        <v>53.27</v>
      </c>
      <c r="F30" s="9">
        <v>47.93</v>
      </c>
      <c r="G30" s="9">
        <v>51.41</v>
      </c>
      <c r="H30" s="10" t="str">
        <f t="shared" si="0"/>
        <v>Nov-16</v>
      </c>
      <c r="I30" s="4">
        <f t="shared" si="5"/>
        <v>1.2643474032289501E-2</v>
      </c>
      <c r="J30" s="3">
        <f t="shared" si="1"/>
        <v>51.41</v>
      </c>
      <c r="K30" s="11">
        <f t="shared" si="6"/>
        <v>48.769999599999998</v>
      </c>
      <c r="L30" s="11">
        <f t="shared" si="8"/>
        <v>48.556999900000008</v>
      </c>
      <c r="M30">
        <f t="shared" si="2"/>
        <v>5.3400000000000034</v>
      </c>
      <c r="N30">
        <f t="shared" si="7"/>
        <v>2.3676287690902167</v>
      </c>
      <c r="O30">
        <f t="shared" si="3"/>
        <v>48.93</v>
      </c>
      <c r="P30">
        <f t="shared" si="9"/>
        <v>49.417500083333344</v>
      </c>
      <c r="Q30">
        <f t="shared" si="4"/>
        <v>49.218321560851912</v>
      </c>
      <c r="R30">
        <v>-18215.048099266241</v>
      </c>
      <c r="S30">
        <v>14.608333419999999</v>
      </c>
    </row>
    <row r="31" spans="1:19" ht="15.5" x14ac:dyDescent="0.35">
      <c r="A31">
        <v>30</v>
      </c>
      <c r="C31" s="8">
        <v>42705</v>
      </c>
      <c r="D31" s="9">
        <v>50.849997999999999</v>
      </c>
      <c r="E31" s="9">
        <v>53.669998</v>
      </c>
      <c r="F31" s="9">
        <v>49.73</v>
      </c>
      <c r="G31" s="9">
        <v>52.060001</v>
      </c>
      <c r="H31" s="10" t="str">
        <f t="shared" si="0"/>
        <v>Dec-16</v>
      </c>
      <c r="I31" s="4">
        <f t="shared" si="5"/>
        <v>6.3772568886427808E-2</v>
      </c>
      <c r="J31" s="3">
        <f t="shared" si="1"/>
        <v>52.060001</v>
      </c>
      <c r="K31" s="11">
        <f t="shared" si="6"/>
        <v>49.837999600000003</v>
      </c>
      <c r="L31" s="11">
        <f t="shared" si="8"/>
        <v>48.967000099999993</v>
      </c>
      <c r="M31">
        <f t="shared" si="2"/>
        <v>3.9399980000000028</v>
      </c>
      <c r="N31">
        <f t="shared" si="7"/>
        <v>2.5966773402864263</v>
      </c>
      <c r="O31">
        <f t="shared" si="3"/>
        <v>50.73</v>
      </c>
      <c r="P31">
        <f t="shared" si="9"/>
        <v>50.083333583333335</v>
      </c>
      <c r="Q31">
        <f t="shared" si="4"/>
        <v>50.947691644909732</v>
      </c>
      <c r="R31">
        <v>-18227.897345371712</v>
      </c>
      <c r="S31">
        <v>15.124166750000001</v>
      </c>
    </row>
    <row r="32" spans="1:19" ht="15.5" x14ac:dyDescent="0.35">
      <c r="A32">
        <v>31</v>
      </c>
      <c r="B32">
        <v>2017</v>
      </c>
      <c r="C32" s="8">
        <v>42736</v>
      </c>
      <c r="D32" s="9">
        <v>52.23</v>
      </c>
      <c r="E32" s="9">
        <v>57.790000999999997</v>
      </c>
      <c r="F32" s="9">
        <v>51.740001999999997</v>
      </c>
      <c r="G32" s="9">
        <v>55.380001</v>
      </c>
      <c r="H32" s="12" t="str">
        <f t="shared" si="0"/>
        <v>Jan-17</v>
      </c>
      <c r="I32" s="4">
        <f t="shared" si="5"/>
        <v>1.0292524191178693E-2</v>
      </c>
      <c r="J32" s="3">
        <f t="shared" si="1"/>
        <v>55.380001</v>
      </c>
      <c r="K32" s="11">
        <f t="shared" si="6"/>
        <v>51.353999999999999</v>
      </c>
      <c r="L32" s="11">
        <f t="shared" si="8"/>
        <v>49.22800019999999</v>
      </c>
      <c r="M32">
        <f t="shared" si="2"/>
        <v>6.0499989999999997</v>
      </c>
      <c r="N32">
        <f t="shared" si="7"/>
        <v>3.1031732982010807</v>
      </c>
      <c r="O32">
        <f t="shared" si="3"/>
        <v>52.740001999999997</v>
      </c>
      <c r="P32">
        <f t="shared" si="9"/>
        <v>50.595000249999991</v>
      </c>
      <c r="Q32">
        <f t="shared" si="4"/>
        <v>52.30367851236069</v>
      </c>
      <c r="R32">
        <v>-18241.174899680704</v>
      </c>
      <c r="S32">
        <v>15.59166675</v>
      </c>
    </row>
    <row r="33" spans="1:19" ht="15.5" x14ac:dyDescent="0.35">
      <c r="A33">
        <v>32</v>
      </c>
      <c r="C33" s="8">
        <v>42767</v>
      </c>
      <c r="D33" s="9">
        <v>55.27</v>
      </c>
      <c r="E33" s="9">
        <v>56.93</v>
      </c>
      <c r="F33" s="9">
        <v>54.75</v>
      </c>
      <c r="G33" s="9">
        <v>55.950001</v>
      </c>
      <c r="H33" s="12" t="str">
        <f t="shared" si="0"/>
        <v>Feb-17</v>
      </c>
      <c r="I33" s="4">
        <f t="shared" si="5"/>
        <v>5.2904360091074819E-2</v>
      </c>
      <c r="J33" s="3">
        <f t="shared" si="1"/>
        <v>55.950001</v>
      </c>
      <c r="K33" s="11">
        <f t="shared" si="6"/>
        <v>52.780000199999996</v>
      </c>
      <c r="L33" s="11">
        <f t="shared" si="8"/>
        <v>49.918000399999997</v>
      </c>
      <c r="M33">
        <f t="shared" si="2"/>
        <v>2.1799999999999997</v>
      </c>
      <c r="N33">
        <f t="shared" si="7"/>
        <v>3.7573597147762681</v>
      </c>
      <c r="O33">
        <f t="shared" si="3"/>
        <v>55.75</v>
      </c>
      <c r="P33">
        <f t="shared" si="9"/>
        <v>51.655000333333327</v>
      </c>
      <c r="Q33">
        <f t="shared" si="4"/>
        <v>55.290775688343729</v>
      </c>
      <c r="R33">
        <v>-18254.452453989692</v>
      </c>
      <c r="S33">
        <v>15.912500079999999</v>
      </c>
    </row>
    <row r="34" spans="1:19" ht="15.5" x14ac:dyDescent="0.35">
      <c r="A34">
        <v>33</v>
      </c>
      <c r="C34" s="8">
        <v>42795</v>
      </c>
      <c r="D34" s="9">
        <v>56.509998000000003</v>
      </c>
      <c r="E34" s="9">
        <v>60.240001999999997</v>
      </c>
      <c r="F34" s="9">
        <v>55.07</v>
      </c>
      <c r="G34" s="9">
        <v>58.91</v>
      </c>
      <c r="H34" s="12" t="str">
        <f t="shared" si="0"/>
        <v>Mar-17</v>
      </c>
      <c r="I34" s="4">
        <f t="shared" si="5"/>
        <v>4.8548633508742264E-2</v>
      </c>
      <c r="J34" s="3">
        <f t="shared" si="1"/>
        <v>58.91</v>
      </c>
      <c r="K34" s="11">
        <f t="shared" si="6"/>
        <v>54.742000600000004</v>
      </c>
      <c r="L34" s="11">
        <f t="shared" si="8"/>
        <v>51.035000199999999</v>
      </c>
      <c r="M34">
        <f t="shared" si="2"/>
        <v>5.1700019999999967</v>
      </c>
      <c r="N34">
        <f t="shared" si="7"/>
        <v>4.6030818478253064</v>
      </c>
      <c r="O34">
        <f t="shared" si="3"/>
        <v>56.07</v>
      </c>
      <c r="P34">
        <f t="shared" si="9"/>
        <v>53.015833500000006</v>
      </c>
      <c r="Q34">
        <f t="shared" si="4"/>
        <v>56.509194939667609</v>
      </c>
      <c r="R34">
        <v>-18266.445083688133</v>
      </c>
      <c r="S34">
        <v>15.70916667</v>
      </c>
    </row>
    <row r="35" spans="1:19" ht="15.5" x14ac:dyDescent="0.35">
      <c r="A35">
        <v>34</v>
      </c>
      <c r="C35" s="8">
        <v>42826</v>
      </c>
      <c r="D35" s="9">
        <v>59</v>
      </c>
      <c r="E35" s="9">
        <v>62.5</v>
      </c>
      <c r="F35" s="9">
        <v>57.389999000000003</v>
      </c>
      <c r="G35" s="9">
        <v>61.77</v>
      </c>
      <c r="H35" s="12" t="str">
        <f t="shared" si="0"/>
        <v>Apr-17</v>
      </c>
      <c r="I35" s="4">
        <f t="shared" si="5"/>
        <v>3.7234903674922937E-2</v>
      </c>
      <c r="J35" s="3">
        <f t="shared" si="1"/>
        <v>61.77</v>
      </c>
      <c r="K35" s="11">
        <f t="shared" si="6"/>
        <v>56.8140006</v>
      </c>
      <c r="L35" s="11">
        <f t="shared" si="8"/>
        <v>52.792000099999996</v>
      </c>
      <c r="M35">
        <f t="shared" si="2"/>
        <v>5.1100009999999969</v>
      </c>
      <c r="N35">
        <f t="shared" si="7"/>
        <v>5.0370602387151804</v>
      </c>
      <c r="O35">
        <f t="shared" si="3"/>
        <v>58.389999000000003</v>
      </c>
      <c r="P35">
        <f t="shared" si="9"/>
        <v>54.796666749999986</v>
      </c>
      <c r="Q35">
        <f t="shared" si="4"/>
        <v>58.955865315454474</v>
      </c>
      <c r="R35">
        <v>-18279.722637997122</v>
      </c>
      <c r="S35">
        <v>15.61332492</v>
      </c>
    </row>
    <row r="36" spans="1:19" ht="15.5" x14ac:dyDescent="0.35">
      <c r="A36">
        <v>35</v>
      </c>
      <c r="C36" s="8">
        <v>42856</v>
      </c>
      <c r="D36" s="9">
        <v>61.779998999999997</v>
      </c>
      <c r="E36" s="9">
        <v>64.330001999999993</v>
      </c>
      <c r="F36" s="9">
        <v>59.68</v>
      </c>
      <c r="G36" s="9">
        <v>64.069999999999993</v>
      </c>
      <c r="H36" s="12" t="str">
        <f t="shared" si="0"/>
        <v>May-17</v>
      </c>
      <c r="I36" s="4">
        <f t="shared" si="5"/>
        <v>2.3411893241766821E-2</v>
      </c>
      <c r="J36" s="3">
        <f t="shared" si="1"/>
        <v>64.069999999999993</v>
      </c>
      <c r="K36" s="11">
        <f t="shared" si="6"/>
        <v>59.216000400000006</v>
      </c>
      <c r="L36" s="11">
        <f t="shared" si="8"/>
        <v>54.527000000000001</v>
      </c>
      <c r="M36">
        <f t="shared" si="2"/>
        <v>4.6500019999999935</v>
      </c>
      <c r="N36">
        <f t="shared" si="7"/>
        <v>5.6624459259621478</v>
      </c>
      <c r="O36">
        <f t="shared" si="3"/>
        <v>60.68</v>
      </c>
      <c r="P36">
        <f t="shared" si="9"/>
        <v>56.468333249999993</v>
      </c>
      <c r="Q36">
        <f t="shared" si="4"/>
        <v>61.687486092472774</v>
      </c>
      <c r="R36">
        <v>-18292.571884102596</v>
      </c>
      <c r="S36" s="13">
        <f>SUM(S24:S35)/12</f>
        <v>14.121318784166666</v>
      </c>
    </row>
    <row r="37" spans="1:19" ht="15.5" x14ac:dyDescent="0.35">
      <c r="A37">
        <v>36</v>
      </c>
      <c r="C37" s="8">
        <v>42887</v>
      </c>
      <c r="D37" s="9">
        <v>64.309997999999993</v>
      </c>
      <c r="E37" s="9">
        <v>67.300003000000004</v>
      </c>
      <c r="F37" s="9">
        <v>62.669998</v>
      </c>
      <c r="G37" s="9">
        <v>65.569999999999993</v>
      </c>
      <c r="H37" s="12" t="str">
        <f t="shared" si="0"/>
        <v>Jun-17</v>
      </c>
      <c r="I37" s="4">
        <f t="shared" si="5"/>
        <v>1.8453545828885323E-2</v>
      </c>
      <c r="J37" s="3">
        <f t="shared" si="1"/>
        <v>65.569999999999993</v>
      </c>
      <c r="K37" s="11">
        <f t="shared" si="6"/>
        <v>61.254000199999993</v>
      </c>
      <c r="L37" s="11">
        <f t="shared" si="8"/>
        <v>56.304000099999996</v>
      </c>
      <c r="M37">
        <f t="shared" si="2"/>
        <v>4.6300050000000041</v>
      </c>
      <c r="N37">
        <f t="shared" si="7"/>
        <v>6.0890398602006428</v>
      </c>
      <c r="O37">
        <f t="shared" si="3"/>
        <v>63.669998</v>
      </c>
      <c r="P37">
        <f t="shared" si="9"/>
        <v>58.275000249999998</v>
      </c>
      <c r="Q37">
        <f t="shared" si="4"/>
        <v>64.173457430676677</v>
      </c>
      <c r="R37">
        <v>-18305.849438411587</v>
      </c>
    </row>
    <row r="38" spans="1:19" ht="15.5" x14ac:dyDescent="0.35">
      <c r="A38">
        <v>37</v>
      </c>
      <c r="C38" s="8">
        <v>42917</v>
      </c>
      <c r="D38" s="9">
        <v>65.650002000000001</v>
      </c>
      <c r="E38" s="9">
        <v>67.800003000000004</v>
      </c>
      <c r="F38" s="9">
        <v>65.069999999999993</v>
      </c>
      <c r="G38" s="9">
        <v>66.779999000000004</v>
      </c>
      <c r="H38" s="12" t="str">
        <f t="shared" si="0"/>
        <v>Jul-17</v>
      </c>
      <c r="I38" s="4">
        <f t="shared" si="5"/>
        <v>4.0431327349974844E-2</v>
      </c>
      <c r="J38" s="3">
        <f t="shared" si="1"/>
        <v>66.779999000000004</v>
      </c>
      <c r="K38" s="11">
        <f t="shared" si="6"/>
        <v>63.419999800000006</v>
      </c>
      <c r="L38" s="11">
        <f t="shared" si="8"/>
        <v>58.099999999999987</v>
      </c>
      <c r="M38">
        <f t="shared" si="2"/>
        <v>2.7300030000000106</v>
      </c>
      <c r="N38">
        <f t="shared" si="7"/>
        <v>6.2819653402066296</v>
      </c>
      <c r="O38">
        <f>F38+1</f>
        <v>66.069999999999993</v>
      </c>
      <c r="P38">
        <f t="shared" si="9"/>
        <v>59.587500249999984</v>
      </c>
      <c r="Q38">
        <f t="shared" si="4"/>
        <v>65.490142353112859</v>
      </c>
      <c r="R38">
        <v>-18318.698684517058</v>
      </c>
    </row>
    <row r="39" spans="1:19" ht="15.5" x14ac:dyDescent="0.35">
      <c r="A39">
        <v>38</v>
      </c>
      <c r="C39" s="8">
        <v>42948</v>
      </c>
      <c r="D39" s="9">
        <v>68.169998000000007</v>
      </c>
      <c r="E39" s="9">
        <v>69.550003000000004</v>
      </c>
      <c r="F39" s="9">
        <v>67.059997999999993</v>
      </c>
      <c r="G39" s="9">
        <v>69.480002999999996</v>
      </c>
      <c r="H39" s="12" t="str">
        <f t="shared" si="0"/>
        <v>Aug-17</v>
      </c>
      <c r="I39" s="4">
        <f t="shared" si="5"/>
        <v>-7.0667858203748254E-2</v>
      </c>
      <c r="J39" s="3">
        <f t="shared" si="1"/>
        <v>69.480002999999996</v>
      </c>
      <c r="K39" s="11">
        <f t="shared" si="6"/>
        <v>65.534000399999996</v>
      </c>
      <c r="L39" s="11">
        <f t="shared" si="8"/>
        <v>60.138000499999997</v>
      </c>
      <c r="M39">
        <f t="shared" si="2"/>
        <v>2.4900050000000107</v>
      </c>
      <c r="N39">
        <f t="shared" si="7"/>
        <v>6.3433059092068813</v>
      </c>
      <c r="O39">
        <f t="shared" si="3"/>
        <v>68.059997999999993</v>
      </c>
      <c r="P39">
        <f t="shared" si="9"/>
        <v>61.028333666666661</v>
      </c>
      <c r="Q39">
        <f t="shared" si="4"/>
        <v>67.966284765970926</v>
      </c>
      <c r="R39">
        <v>-18331.97623882605</v>
      </c>
    </row>
    <row r="40" spans="1:19" ht="15.5" x14ac:dyDescent="0.35">
      <c r="A40">
        <v>39</v>
      </c>
      <c r="C40" s="8">
        <v>42979</v>
      </c>
      <c r="D40" s="9">
        <v>69.819999999999993</v>
      </c>
      <c r="E40" s="9">
        <v>69.889999000000003</v>
      </c>
      <c r="F40" s="9">
        <v>63.009998000000003</v>
      </c>
      <c r="G40" s="9">
        <v>64.569999999999993</v>
      </c>
      <c r="H40" s="12" t="str">
        <f t="shared" si="0"/>
        <v>Sep-17</v>
      </c>
      <c r="I40" s="4">
        <f t="shared" si="5"/>
        <v>2.8186448815239431E-2</v>
      </c>
      <c r="J40" s="3">
        <f t="shared" si="1"/>
        <v>64.569999999999993</v>
      </c>
      <c r="K40" s="11">
        <f t="shared" si="6"/>
        <v>66.094000399999999</v>
      </c>
      <c r="L40" s="11">
        <f t="shared" si="8"/>
        <v>61.454000500000006</v>
      </c>
      <c r="M40">
        <f t="shared" si="2"/>
        <v>6.880001</v>
      </c>
      <c r="N40">
        <f t="shared" si="7"/>
        <v>5.6596410914867725</v>
      </c>
      <c r="O40">
        <f t="shared" si="3"/>
        <v>64.009997999999996</v>
      </c>
      <c r="P40">
        <f t="shared" si="9"/>
        <v>62.21416691666667</v>
      </c>
      <c r="Q40">
        <f t="shared" si="4"/>
        <v>69.587573027341421</v>
      </c>
      <c r="R40">
        <v>-18345.253793135038</v>
      </c>
    </row>
    <row r="41" spans="1:19" ht="15.5" x14ac:dyDescent="0.35">
      <c r="A41">
        <v>40</v>
      </c>
      <c r="C41" s="8">
        <v>43009</v>
      </c>
      <c r="D41" s="9">
        <v>64.059997999999993</v>
      </c>
      <c r="E41" s="9">
        <v>68.5</v>
      </c>
      <c r="F41" s="9">
        <v>63.900002000000001</v>
      </c>
      <c r="G41" s="9">
        <v>66.389999000000003</v>
      </c>
      <c r="H41" s="12" t="str">
        <f t="shared" si="0"/>
        <v>Oct-17</v>
      </c>
      <c r="I41" s="4">
        <f t="shared" si="5"/>
        <v>-1.1296882230710683E-2</v>
      </c>
      <c r="J41" s="3">
        <f t="shared" si="1"/>
        <v>66.389999000000003</v>
      </c>
      <c r="K41" s="11">
        <f t="shared" si="6"/>
        <v>66.558000199999995</v>
      </c>
      <c r="L41" s="11">
        <f t="shared" si="8"/>
        <v>62.887000299999997</v>
      </c>
      <c r="M41">
        <f t="shared" si="2"/>
        <v>4.5999979999999994</v>
      </c>
      <c r="N41">
        <f t="shared" si="7"/>
        <v>4.7593861167873328</v>
      </c>
      <c r="O41">
        <f t="shared" si="3"/>
        <v>64.900002000000001</v>
      </c>
      <c r="P41">
        <f t="shared" si="9"/>
        <v>63.406667083333332</v>
      </c>
      <c r="Q41">
        <f t="shared" si="4"/>
        <v>63.927807991862288</v>
      </c>
      <c r="R41">
        <v>-18358.103039240512</v>
      </c>
    </row>
    <row r="42" spans="1:19" ht="15.5" x14ac:dyDescent="0.35">
      <c r="A42">
        <v>41</v>
      </c>
      <c r="C42" s="8">
        <v>43040</v>
      </c>
      <c r="D42" s="9">
        <v>66.580001999999993</v>
      </c>
      <c r="E42" s="9">
        <v>67.809997999999993</v>
      </c>
      <c r="F42" s="9">
        <v>63.599997999999999</v>
      </c>
      <c r="G42" s="9">
        <v>65.639999000000003</v>
      </c>
      <c r="H42" s="12" t="str">
        <f t="shared" si="0"/>
        <v>Nov-17</v>
      </c>
      <c r="I42" s="4">
        <f t="shared" si="5"/>
        <v>1.1121328627686205E-2</v>
      </c>
      <c r="J42" s="3">
        <f t="shared" si="1"/>
        <v>65.639999000000003</v>
      </c>
      <c r="K42" s="11">
        <f t="shared" si="6"/>
        <v>66.571999999999989</v>
      </c>
      <c r="L42" s="11">
        <f t="shared" si="8"/>
        <v>63.913000099999998</v>
      </c>
      <c r="M42">
        <f t="shared" si="2"/>
        <v>4.2099999999999937</v>
      </c>
      <c r="N42">
        <f t="shared" si="7"/>
        <v>4.0078120012186877</v>
      </c>
      <c r="O42">
        <f t="shared" si="3"/>
        <v>64.599997999999999</v>
      </c>
      <c r="P42">
        <f t="shared" si="9"/>
        <v>64.759167083333338</v>
      </c>
      <c r="Q42">
        <f t="shared" si="4"/>
        <v>66.403958265502396</v>
      </c>
      <c r="R42">
        <v>-18371.3805935495</v>
      </c>
    </row>
    <row r="43" spans="1:19" ht="15.5" x14ac:dyDescent="0.35">
      <c r="A43">
        <v>42</v>
      </c>
      <c r="C43" s="8">
        <v>43070</v>
      </c>
      <c r="D43" s="9">
        <v>65.319999999999993</v>
      </c>
      <c r="E43" s="9">
        <v>69.169998000000007</v>
      </c>
      <c r="F43" s="9">
        <v>64.669998000000007</v>
      </c>
      <c r="G43" s="9">
        <v>66.370002999999997</v>
      </c>
      <c r="H43" s="12" t="str">
        <f t="shared" si="0"/>
        <v>Dec-17</v>
      </c>
      <c r="I43" s="4">
        <f t="shared" si="5"/>
        <v>7.8951299730994434E-2</v>
      </c>
      <c r="J43" s="3">
        <f t="shared" si="1"/>
        <v>66.370002999999997</v>
      </c>
      <c r="K43" s="11">
        <f t="shared" si="6"/>
        <v>66.49000079999999</v>
      </c>
      <c r="L43" s="11">
        <f t="shared" si="8"/>
        <v>64.955000300000009</v>
      </c>
      <c r="M43">
        <f t="shared" si="2"/>
        <v>4.5</v>
      </c>
      <c r="N43">
        <f t="shared" si="7"/>
        <v>2.9122896252112951</v>
      </c>
      <c r="O43">
        <f t="shared" si="3"/>
        <v>65.669998000000007</v>
      </c>
      <c r="P43">
        <f t="shared" si="9"/>
        <v>65.672500666666664</v>
      </c>
      <c r="Q43">
        <f t="shared" si="4"/>
        <v>65.165883128682339</v>
      </c>
      <c r="R43">
        <v>-18384.229839654974</v>
      </c>
    </row>
    <row r="44" spans="1:19" ht="15.5" x14ac:dyDescent="0.35">
      <c r="A44">
        <v>43</v>
      </c>
      <c r="B44">
        <v>2018</v>
      </c>
      <c r="C44" s="8">
        <v>43101</v>
      </c>
      <c r="D44" s="9">
        <v>67.220000999999996</v>
      </c>
      <c r="E44" s="9">
        <v>72.699996999999996</v>
      </c>
      <c r="F44" s="9">
        <v>65.949996999999996</v>
      </c>
      <c r="G44" s="9">
        <v>71.610000999999997</v>
      </c>
      <c r="H44" s="10" t="str">
        <f t="shared" si="0"/>
        <v>Jan-18</v>
      </c>
      <c r="I44" s="4">
        <f t="shared" si="5"/>
        <v>-6.563324862961524E-2</v>
      </c>
      <c r="J44" s="3">
        <f t="shared" si="1"/>
        <v>71.610000999999997</v>
      </c>
      <c r="K44" s="11">
        <f t="shared" si="6"/>
        <v>66.916000400000001</v>
      </c>
      <c r="L44" s="11">
        <f t="shared" si="8"/>
        <v>66.225000399999999</v>
      </c>
      <c r="M44">
        <f t="shared" si="2"/>
        <v>6.75</v>
      </c>
      <c r="N44">
        <f t="shared" si="7"/>
        <v>2.7477441434347631</v>
      </c>
      <c r="O44">
        <f t="shared" si="3"/>
        <v>66.949996999999996</v>
      </c>
      <c r="P44">
        <f t="shared" si="9"/>
        <v>66.22833416666667</v>
      </c>
      <c r="Q44">
        <f t="shared" si="4"/>
        <v>67.03281984626949</v>
      </c>
      <c r="R44">
        <v>-18397.507393963962</v>
      </c>
    </row>
    <row r="45" spans="1:19" ht="15.5" x14ac:dyDescent="0.35">
      <c r="A45">
        <v>44</v>
      </c>
      <c r="C45" s="8">
        <v>43132</v>
      </c>
      <c r="D45" s="9">
        <v>71.930000000000007</v>
      </c>
      <c r="E45" s="9">
        <v>72.290001000000004</v>
      </c>
      <c r="F45" s="9">
        <v>64.800003000000004</v>
      </c>
      <c r="G45" s="9">
        <v>66.910004000000001</v>
      </c>
      <c r="H45" s="10" t="str">
        <f t="shared" si="0"/>
        <v>Feb-18</v>
      </c>
      <c r="I45" s="4">
        <f t="shared" si="5"/>
        <v>-1.9877476019878992E-2</v>
      </c>
      <c r="J45" s="3">
        <f t="shared" si="1"/>
        <v>66.910004000000001</v>
      </c>
      <c r="K45" s="11">
        <f t="shared" si="6"/>
        <v>67.3840012</v>
      </c>
      <c r="L45" s="11">
        <f t="shared" si="8"/>
        <v>66.739000799999999</v>
      </c>
      <c r="M45">
        <f t="shared" si="2"/>
        <v>7.4899979999999999</v>
      </c>
      <c r="N45">
        <f t="shared" si="7"/>
        <v>2.25908334792951</v>
      </c>
      <c r="O45">
        <f t="shared" si="3"/>
        <v>65.800003000000004</v>
      </c>
      <c r="P45">
        <f t="shared" si="9"/>
        <v>66.335834250000005</v>
      </c>
      <c r="Q45">
        <f t="shared" si="4"/>
        <v>71.660854290934921</v>
      </c>
      <c r="R45">
        <v>-18410.784948272954</v>
      </c>
    </row>
    <row r="46" spans="1:19" ht="15.5" x14ac:dyDescent="0.35">
      <c r="A46">
        <v>45</v>
      </c>
      <c r="C46" s="8">
        <v>43160</v>
      </c>
      <c r="D46" s="9">
        <v>66.610000999999997</v>
      </c>
      <c r="E46" s="9">
        <v>69.110000999999997</v>
      </c>
      <c r="F46" s="9">
        <v>64.25</v>
      </c>
      <c r="G46" s="9">
        <v>65.580001999999993</v>
      </c>
      <c r="H46" s="10" t="str">
        <f t="shared" si="0"/>
        <v>Mar-18</v>
      </c>
      <c r="I46" s="4">
        <f t="shared" si="5"/>
        <v>-3.8426363573456336E-2</v>
      </c>
      <c r="J46" s="3">
        <f t="shared" si="1"/>
        <v>65.580001999999993</v>
      </c>
      <c r="K46" s="11">
        <f t="shared" si="6"/>
        <v>67.222001800000001</v>
      </c>
      <c r="L46" s="11">
        <f t="shared" si="8"/>
        <v>66.890000999999998</v>
      </c>
      <c r="M46">
        <f t="shared" si="2"/>
        <v>4.8600009999999969</v>
      </c>
      <c r="N46">
        <f t="shared" si="7"/>
        <v>2.1061502663504332</v>
      </c>
      <c r="O46">
        <f t="shared" si="3"/>
        <v>65.25</v>
      </c>
      <c r="P46">
        <f t="shared" si="9"/>
        <v>66.186667499999984</v>
      </c>
      <c r="Q46">
        <f t="shared" si="4"/>
        <v>66.433435215562369</v>
      </c>
      <c r="R46">
        <v>-18422.777577971396</v>
      </c>
    </row>
    <row r="47" spans="1:19" ht="15.5" x14ac:dyDescent="0.35">
      <c r="A47">
        <v>46</v>
      </c>
      <c r="C47" s="8">
        <v>43191</v>
      </c>
      <c r="D47" s="9">
        <v>65.680000000000007</v>
      </c>
      <c r="E47" s="9">
        <v>66.75</v>
      </c>
      <c r="F47" s="9">
        <v>61.889999000000003</v>
      </c>
      <c r="G47" s="9">
        <v>63.060001</v>
      </c>
      <c r="H47" s="10" t="str">
        <f t="shared" si="0"/>
        <v>Apr-18</v>
      </c>
      <c r="I47" s="4">
        <f t="shared" si="5"/>
        <v>-1.2369203736612742E-2</v>
      </c>
      <c r="J47" s="3">
        <f t="shared" si="1"/>
        <v>63.060001</v>
      </c>
      <c r="K47" s="11">
        <f t="shared" si="6"/>
        <v>66.7060022</v>
      </c>
      <c r="L47" s="11">
        <f t="shared" si="8"/>
        <v>66.639001100000002</v>
      </c>
      <c r="M47">
        <f t="shared" si="2"/>
        <v>4.8600009999999969</v>
      </c>
      <c r="N47">
        <f t="shared" si="7"/>
        <v>2.4087642835194538</v>
      </c>
      <c r="O47">
        <f t="shared" si="3"/>
        <v>62.889999000000003</v>
      </c>
      <c r="P47">
        <f t="shared" si="9"/>
        <v>65.498334249999985</v>
      </c>
      <c r="Q47">
        <f t="shared" si="4"/>
        <v>65.519618320575077</v>
      </c>
      <c r="R47">
        <v>-18436.055132280384</v>
      </c>
    </row>
    <row r="48" spans="1:19" ht="15.5" x14ac:dyDescent="0.35">
      <c r="A48">
        <v>47</v>
      </c>
      <c r="C48" s="8">
        <v>43221</v>
      </c>
      <c r="D48" s="9">
        <v>63.240001999999997</v>
      </c>
      <c r="E48" s="9">
        <v>66</v>
      </c>
      <c r="F48" s="9">
        <v>62.139999000000003</v>
      </c>
      <c r="G48" s="9">
        <v>62.279998999999997</v>
      </c>
      <c r="H48" s="10" t="str">
        <f t="shared" si="0"/>
        <v>May-18</v>
      </c>
      <c r="I48" s="4">
        <f t="shared" si="5"/>
        <v>-7.9800868333347236E-2</v>
      </c>
      <c r="J48" s="3">
        <f t="shared" si="1"/>
        <v>62.279998999999997</v>
      </c>
      <c r="K48" s="11">
        <f t="shared" si="6"/>
        <v>65.888001399999993</v>
      </c>
      <c r="L48" s="11">
        <f t="shared" si="8"/>
        <v>66.189001100000013</v>
      </c>
      <c r="M48">
        <f t="shared" si="2"/>
        <v>3.8600009999999969</v>
      </c>
      <c r="N48">
        <f t="shared" si="7"/>
        <v>2.7723902094688957</v>
      </c>
      <c r="O48">
        <f t="shared" si="3"/>
        <v>63.139999000000003</v>
      </c>
      <c r="P48">
        <f t="shared" si="9"/>
        <v>64.870001166666668</v>
      </c>
      <c r="Q48">
        <f t="shared" si="4"/>
        <v>63.122081762942102</v>
      </c>
      <c r="R48">
        <v>-18448.904378385858</v>
      </c>
    </row>
    <row r="49" spans="1:18" ht="15.5" x14ac:dyDescent="0.35">
      <c r="A49">
        <v>48</v>
      </c>
      <c r="C49" s="8">
        <v>43252</v>
      </c>
      <c r="D49" s="9">
        <v>62.68</v>
      </c>
      <c r="E49" s="9">
        <v>65.419998000000007</v>
      </c>
      <c r="F49" s="9">
        <v>56.790000999999997</v>
      </c>
      <c r="G49" s="9">
        <v>57.310001</v>
      </c>
      <c r="H49" s="10" t="str">
        <f t="shared" si="0"/>
        <v>Jun-18</v>
      </c>
      <c r="I49" s="4">
        <f t="shared" si="5"/>
        <v>3.3676513109814767E-2</v>
      </c>
      <c r="J49" s="3">
        <f t="shared" si="1"/>
        <v>57.310001</v>
      </c>
      <c r="K49" s="11">
        <f t="shared" si="6"/>
        <v>63.028001399999994</v>
      </c>
      <c r="L49" s="11">
        <f t="shared" si="8"/>
        <v>64.972000899999983</v>
      </c>
      <c r="M49">
        <f t="shared" si="2"/>
        <v>8.6299970000000101</v>
      </c>
      <c r="N49">
        <f t="shared" si="7"/>
        <v>3.6873715670895937</v>
      </c>
      <c r="O49">
        <f t="shared" si="3"/>
        <v>57.790000999999997</v>
      </c>
      <c r="P49">
        <f t="shared" si="9"/>
        <v>64.204167749999996</v>
      </c>
      <c r="Q49">
        <f t="shared" si="4"/>
        <v>62.571825054802353</v>
      </c>
      <c r="R49">
        <v>-18462.181932694846</v>
      </c>
    </row>
    <row r="50" spans="1:18" ht="15.5" x14ac:dyDescent="0.35">
      <c r="A50">
        <v>49</v>
      </c>
      <c r="C50" s="8">
        <v>43282</v>
      </c>
      <c r="D50" s="9">
        <v>56.830002</v>
      </c>
      <c r="E50" s="9">
        <v>59.779998999999997</v>
      </c>
      <c r="F50" s="9">
        <v>56.450001</v>
      </c>
      <c r="G50" s="9">
        <v>59.240001999999997</v>
      </c>
      <c r="H50" s="10" t="str">
        <f t="shared" si="0"/>
        <v>Jul-18</v>
      </c>
      <c r="I50" s="4">
        <f t="shared" si="5"/>
        <v>3.7981092573224427E-2</v>
      </c>
      <c r="J50" s="3">
        <f t="shared" si="1"/>
        <v>59.240001999999997</v>
      </c>
      <c r="K50" s="11">
        <f t="shared" si="6"/>
        <v>61.49400099999999</v>
      </c>
      <c r="L50" s="11">
        <f t="shared" si="8"/>
        <v>64.439001099999999</v>
      </c>
      <c r="M50">
        <f t="shared" si="2"/>
        <v>3.3299979999999962</v>
      </c>
      <c r="N50">
        <f t="shared" si="7"/>
        <v>4.1126323073891209</v>
      </c>
      <c r="O50">
        <f t="shared" si="3"/>
        <v>57.450001</v>
      </c>
      <c r="P50">
        <f t="shared" si="9"/>
        <v>64.137501083333333</v>
      </c>
      <c r="Q50">
        <f t="shared" si="4"/>
        <v>56.82363015174105</v>
      </c>
      <c r="R50">
        <v>-18475.03117880032</v>
      </c>
    </row>
    <row r="51" spans="1:18" ht="15.5" x14ac:dyDescent="0.35">
      <c r="A51">
        <v>50</v>
      </c>
      <c r="C51" s="8">
        <v>43313</v>
      </c>
      <c r="D51" s="9">
        <v>59.16</v>
      </c>
      <c r="E51" s="9">
        <v>62.529998999999997</v>
      </c>
      <c r="F51" s="9">
        <v>57.220001000000003</v>
      </c>
      <c r="G51" s="9">
        <v>61.490001999999997</v>
      </c>
      <c r="H51" s="10" t="str">
        <f t="shared" si="0"/>
        <v>Aug-18</v>
      </c>
      <c r="I51" s="4">
        <f t="shared" si="5"/>
        <v>3.7079166138261087E-2</v>
      </c>
      <c r="J51" s="3">
        <f t="shared" si="1"/>
        <v>61.490001999999997</v>
      </c>
      <c r="K51" s="11">
        <f t="shared" si="6"/>
        <v>60.676000999999999</v>
      </c>
      <c r="L51" s="11">
        <f t="shared" si="8"/>
        <v>63.9490014</v>
      </c>
      <c r="M51">
        <f t="shared" si="2"/>
        <v>5.3099979999999931</v>
      </c>
      <c r="N51">
        <f t="shared" si="7"/>
        <v>4.1461214310354411</v>
      </c>
      <c r="O51">
        <f t="shared" si="3"/>
        <v>58.220001000000003</v>
      </c>
      <c r="P51">
        <f t="shared" si="9"/>
        <v>63.275001249999995</v>
      </c>
      <c r="Q51">
        <f t="shared" si="4"/>
        <v>59.113080956295683</v>
      </c>
      <c r="R51">
        <v>-18488.308733109308</v>
      </c>
    </row>
    <row r="52" spans="1:18" ht="15.5" x14ac:dyDescent="0.35">
      <c r="A52">
        <v>51</v>
      </c>
      <c r="C52" s="8">
        <v>43344</v>
      </c>
      <c r="D52" s="9">
        <v>61.209999000000003</v>
      </c>
      <c r="E52" s="9">
        <v>67.690002000000007</v>
      </c>
      <c r="F52" s="9">
        <v>60.759998000000003</v>
      </c>
      <c r="G52" s="9">
        <v>63.77</v>
      </c>
      <c r="H52" s="10" t="str">
        <f t="shared" si="0"/>
        <v>Sep-18</v>
      </c>
      <c r="I52" s="4">
        <f t="shared" si="5"/>
        <v>-0.12121685745648433</v>
      </c>
      <c r="J52" s="3">
        <f t="shared" si="1"/>
        <v>63.77</v>
      </c>
      <c r="K52" s="11">
        <f t="shared" si="6"/>
        <v>60.818000800000007</v>
      </c>
      <c r="L52" s="11">
        <f t="shared" si="8"/>
        <v>63.762001499999997</v>
      </c>
      <c r="M52">
        <f t="shared" si="2"/>
        <v>6.9300040000000038</v>
      </c>
      <c r="N52">
        <f t="shared" si="7"/>
        <v>4.1033290722969813</v>
      </c>
      <c r="O52">
        <f t="shared" si="3"/>
        <v>61.759998000000003</v>
      </c>
      <c r="P52">
        <f t="shared" si="9"/>
        <v>62.829168083333322</v>
      </c>
      <c r="Q52">
        <f t="shared" si="4"/>
        <v>61.127405371975968</v>
      </c>
      <c r="R52">
        <v>-18501.5862874183</v>
      </c>
    </row>
    <row r="53" spans="1:18" ht="15.5" x14ac:dyDescent="0.35">
      <c r="A53">
        <v>52</v>
      </c>
      <c r="C53" s="8">
        <v>43374</v>
      </c>
      <c r="D53" s="9">
        <v>63.720001000000003</v>
      </c>
      <c r="E53" s="9">
        <v>64.769997000000004</v>
      </c>
      <c r="F53" s="9">
        <v>53.470001000000003</v>
      </c>
      <c r="G53" s="9">
        <v>56.040000999999997</v>
      </c>
      <c r="H53" s="10" t="str">
        <f t="shared" si="0"/>
        <v>Oct-18</v>
      </c>
      <c r="I53" s="4">
        <f t="shared" si="5"/>
        <v>7.5838685299095557E-2</v>
      </c>
      <c r="J53" s="3">
        <f t="shared" si="1"/>
        <v>56.040000999999997</v>
      </c>
      <c r="K53" s="11">
        <f t="shared" si="6"/>
        <v>59.5700012</v>
      </c>
      <c r="L53" s="11">
        <f t="shared" si="8"/>
        <v>62.729001299999993</v>
      </c>
      <c r="M53">
        <f t="shared" si="2"/>
        <v>11.299996</v>
      </c>
      <c r="N53">
        <f t="shared" si="7"/>
        <v>4.6391152298928731</v>
      </c>
      <c r="O53">
        <f t="shared" si="3"/>
        <v>54.470001000000003</v>
      </c>
      <c r="P53">
        <f t="shared" si="9"/>
        <v>61.40666774999999</v>
      </c>
      <c r="Q53">
        <f t="shared" si="4"/>
        <v>63.593727702867987</v>
      </c>
      <c r="R53">
        <v>-18514.435533523774</v>
      </c>
    </row>
    <row r="54" spans="1:18" ht="15.5" x14ac:dyDescent="0.35">
      <c r="A54">
        <v>53</v>
      </c>
      <c r="C54" s="8">
        <v>43405</v>
      </c>
      <c r="D54" s="9">
        <v>56.389999000000003</v>
      </c>
      <c r="E54" s="9">
        <v>62.52</v>
      </c>
      <c r="F54" s="9">
        <v>56.119999</v>
      </c>
      <c r="G54" s="9">
        <v>60.290000999999997</v>
      </c>
      <c r="H54" s="10" t="str">
        <f t="shared" si="0"/>
        <v>Nov-18</v>
      </c>
      <c r="I54" s="4">
        <f t="shared" si="5"/>
        <v>-0.1822856496552388</v>
      </c>
      <c r="J54" s="3">
        <f t="shared" si="1"/>
        <v>60.290000999999997</v>
      </c>
      <c r="K54" s="11">
        <f t="shared" si="6"/>
        <v>60.166001199999997</v>
      </c>
      <c r="L54" s="11">
        <f t="shared" si="8"/>
        <v>61.597001299999988</v>
      </c>
      <c r="M54">
        <f t="shared" si="2"/>
        <v>6.4000010000000032</v>
      </c>
      <c r="N54">
        <f t="shared" si="7"/>
        <v>3.4633772508928033</v>
      </c>
      <c r="O54">
        <f t="shared" si="3"/>
        <v>57.119999</v>
      </c>
      <c r="P54">
        <f t="shared" si="9"/>
        <v>60.237501166666654</v>
      </c>
      <c r="Q54">
        <f t="shared" si="4"/>
        <v>56.391284191634455</v>
      </c>
      <c r="R54">
        <v>-18527.713087832763</v>
      </c>
    </row>
    <row r="55" spans="1:18" ht="15.5" x14ac:dyDescent="0.35">
      <c r="A55">
        <v>54</v>
      </c>
      <c r="C55" s="8">
        <v>43435</v>
      </c>
      <c r="D55" s="9">
        <v>60.599997999999999</v>
      </c>
      <c r="E55" s="9">
        <v>61.310001</v>
      </c>
      <c r="F55" s="9">
        <v>45.639999000000003</v>
      </c>
      <c r="G55" s="9">
        <v>49.299999</v>
      </c>
      <c r="H55" s="10" t="str">
        <f t="shared" si="0"/>
        <v>Dec-18</v>
      </c>
      <c r="I55" s="4">
        <f t="shared" si="5"/>
        <v>0.16795138271706661</v>
      </c>
      <c r="J55" s="3">
        <f t="shared" si="1"/>
        <v>49.299999</v>
      </c>
      <c r="K55" s="11">
        <f t="shared" si="6"/>
        <v>58.178000599999997</v>
      </c>
      <c r="L55" s="11">
        <f t="shared" si="8"/>
        <v>59.836000799999987</v>
      </c>
      <c r="M55">
        <f t="shared" si="2"/>
        <v>15.670001999999997</v>
      </c>
      <c r="N55">
        <f t="shared" si="7"/>
        <v>4.7132423152929395</v>
      </c>
      <c r="O55">
        <f t="shared" si="3"/>
        <v>46.639999000000003</v>
      </c>
      <c r="P55">
        <f t="shared" si="9"/>
        <v>59.475000666666659</v>
      </c>
      <c r="Q55">
        <f t="shared" si="4"/>
        <v>60.528019758671086</v>
      </c>
      <c r="R55">
        <v>-18540.562333938236</v>
      </c>
    </row>
    <row r="56" spans="1:18" ht="15.5" x14ac:dyDescent="0.35">
      <c r="A56">
        <v>55</v>
      </c>
      <c r="B56">
        <v>2019</v>
      </c>
      <c r="C56" s="8">
        <v>43466</v>
      </c>
      <c r="D56" s="9">
        <v>48.939999</v>
      </c>
      <c r="E56" s="9">
        <v>58.049999</v>
      </c>
      <c r="F56" s="9">
        <v>47.330002</v>
      </c>
      <c r="G56" s="9">
        <v>57.580002</v>
      </c>
      <c r="H56" s="12" t="str">
        <f t="shared" si="0"/>
        <v>Jan-19</v>
      </c>
      <c r="I56" s="4">
        <f t="shared" si="5"/>
        <v>3.1260158691901871E-3</v>
      </c>
      <c r="J56" s="3">
        <f t="shared" si="1"/>
        <v>57.580002</v>
      </c>
      <c r="K56" s="11">
        <f t="shared" si="6"/>
        <v>57.396000599999994</v>
      </c>
      <c r="L56" s="11">
        <f t="shared" si="8"/>
        <v>59.036000799999997</v>
      </c>
      <c r="M56">
        <f t="shared" si="2"/>
        <v>10.719996999999999</v>
      </c>
      <c r="N56">
        <f t="shared" si="7"/>
        <v>4.2898829160921244</v>
      </c>
      <c r="O56">
        <f t="shared" si="3"/>
        <v>48.330002</v>
      </c>
      <c r="P56">
        <f t="shared" si="9"/>
        <v>58.236667250000004</v>
      </c>
      <c r="Q56">
        <f t="shared" si="4"/>
        <v>49.070930914965523</v>
      </c>
      <c r="R56">
        <v>-18553.839888247225</v>
      </c>
    </row>
    <row r="57" spans="1:18" ht="15.5" x14ac:dyDescent="0.35">
      <c r="A57">
        <v>56</v>
      </c>
      <c r="C57" s="8">
        <v>43497</v>
      </c>
      <c r="D57" s="9">
        <v>57.549999</v>
      </c>
      <c r="E57" s="9">
        <v>59.240001999999997</v>
      </c>
      <c r="F57" s="9">
        <v>55.830002</v>
      </c>
      <c r="G57" s="9">
        <v>57.759998000000003</v>
      </c>
      <c r="H57" s="12" t="str">
        <f t="shared" si="0"/>
        <v>Feb-19</v>
      </c>
      <c r="I57" s="4">
        <f t="shared" si="5"/>
        <v>-0.12188360879098367</v>
      </c>
      <c r="J57" s="3">
        <f t="shared" si="1"/>
        <v>57.759998000000003</v>
      </c>
      <c r="K57" s="11">
        <f t="shared" si="6"/>
        <v>56.194000200000005</v>
      </c>
      <c r="L57" s="11">
        <f t="shared" si="8"/>
        <v>58.506000500000006</v>
      </c>
      <c r="M57">
        <f t="shared" si="2"/>
        <v>3.4099999999999966</v>
      </c>
      <c r="N57">
        <f t="shared" si="7"/>
        <v>4.0586596208329455</v>
      </c>
      <c r="O57">
        <f t="shared" si="3"/>
        <v>56.830002</v>
      </c>
      <c r="P57">
        <f t="shared" si="9"/>
        <v>57.553333916666674</v>
      </c>
      <c r="Q57">
        <f t="shared" si="4"/>
        <v>57.531097587733235</v>
      </c>
      <c r="R57">
        <v>-18567.117442556213</v>
      </c>
    </row>
    <row r="58" spans="1:18" ht="15.5" x14ac:dyDescent="0.35">
      <c r="A58">
        <v>57</v>
      </c>
      <c r="C58" s="8">
        <v>43525</v>
      </c>
      <c r="D58" s="9">
        <v>58.34</v>
      </c>
      <c r="E58" s="9">
        <v>58.68</v>
      </c>
      <c r="F58" s="9">
        <v>49.91</v>
      </c>
      <c r="G58" s="9">
        <v>50.720001000000003</v>
      </c>
      <c r="H58" s="12" t="str">
        <f t="shared" si="0"/>
        <v>Mar-19</v>
      </c>
      <c r="I58" s="4">
        <f t="shared" si="5"/>
        <v>8.1624604068915405E-2</v>
      </c>
      <c r="J58" s="3">
        <f t="shared" si="1"/>
        <v>50.720001000000003</v>
      </c>
      <c r="K58" s="11">
        <f t="shared" si="6"/>
        <v>55.130000200000005</v>
      </c>
      <c r="L58" s="11">
        <f t="shared" si="8"/>
        <v>57.35000070000001</v>
      </c>
      <c r="M58">
        <f t="shared" si="2"/>
        <v>8.7700000000000031</v>
      </c>
      <c r="N58">
        <f t="shared" si="7"/>
        <v>4.487882814622008</v>
      </c>
      <c r="O58">
        <f t="shared" si="3"/>
        <v>50.91</v>
      </c>
      <c r="P58">
        <f t="shared" si="9"/>
        <v>56.629167250000002</v>
      </c>
      <c r="Q58">
        <f t="shared" si="4"/>
        <v>58.30735079698448</v>
      </c>
      <c r="R58">
        <v>-18579.110072254654</v>
      </c>
    </row>
    <row r="59" spans="1:18" ht="15.5" x14ac:dyDescent="0.35">
      <c r="A59">
        <v>58</v>
      </c>
      <c r="C59" s="8">
        <v>43556</v>
      </c>
      <c r="D59" s="9">
        <v>51</v>
      </c>
      <c r="E59" s="9">
        <v>55.34</v>
      </c>
      <c r="F59" s="9">
        <v>51</v>
      </c>
      <c r="G59" s="9">
        <v>54.860000999999997</v>
      </c>
      <c r="H59" s="12" t="str">
        <f t="shared" si="0"/>
        <v>Apr-19</v>
      </c>
      <c r="I59" s="4">
        <f t="shared" si="5"/>
        <v>-6.689759265589508E-2</v>
      </c>
      <c r="J59" s="3">
        <f t="shared" si="1"/>
        <v>54.860000999999997</v>
      </c>
      <c r="K59" s="11">
        <f t="shared" si="6"/>
        <v>54.044000199999992</v>
      </c>
      <c r="L59" s="11">
        <f t="shared" si="8"/>
        <v>57.105000699999991</v>
      </c>
      <c r="M59">
        <f t="shared" si="2"/>
        <v>4.3400000000000034</v>
      </c>
      <c r="N59">
        <f t="shared" si="7"/>
        <v>4.5566566441003662</v>
      </c>
      <c r="O59">
        <f t="shared" si="3"/>
        <v>52</v>
      </c>
      <c r="P59">
        <f t="shared" si="9"/>
        <v>55.73250041666666</v>
      </c>
      <c r="Q59">
        <f t="shared" si="4"/>
        <v>51.095083273393882</v>
      </c>
      <c r="R59">
        <v>-18592.387626563646</v>
      </c>
    </row>
    <row r="60" spans="1:18" ht="15.5" x14ac:dyDescent="0.35">
      <c r="A60">
        <v>59</v>
      </c>
      <c r="C60" s="8">
        <v>43586</v>
      </c>
      <c r="D60" s="9">
        <v>55.599997999999999</v>
      </c>
      <c r="E60" s="9">
        <v>56.040000999999997</v>
      </c>
      <c r="F60" s="9">
        <v>50.720001000000003</v>
      </c>
      <c r="G60" s="9">
        <v>51.189999</v>
      </c>
      <c r="H60" s="12" t="str">
        <f t="shared" si="0"/>
        <v>May-19</v>
      </c>
      <c r="I60" s="4">
        <f t="shared" si="5"/>
        <v>-9.0642705423768427E-2</v>
      </c>
      <c r="J60" s="3">
        <f t="shared" si="1"/>
        <v>51.189999</v>
      </c>
      <c r="K60" s="11">
        <f t="shared" si="6"/>
        <v>54.422000199999999</v>
      </c>
      <c r="L60" s="11">
        <f t="shared" si="8"/>
        <v>56.300000400000002</v>
      </c>
      <c r="M60">
        <f t="shared" si="2"/>
        <v>5.3199999999999932</v>
      </c>
      <c r="N60">
        <f t="shared" si="7"/>
        <v>4.8398443234836979</v>
      </c>
      <c r="O60">
        <f t="shared" si="3"/>
        <v>51.720001000000003</v>
      </c>
      <c r="P60">
        <f t="shared" si="9"/>
        <v>54.731666916666661</v>
      </c>
      <c r="Q60">
        <f t="shared" si="4"/>
        <v>55.61503098238321</v>
      </c>
      <c r="R60">
        <v>-18605.23687266912</v>
      </c>
    </row>
    <row r="61" spans="1:18" ht="15.5" x14ac:dyDescent="0.35">
      <c r="A61">
        <v>60</v>
      </c>
      <c r="C61" s="8">
        <v>43617</v>
      </c>
      <c r="D61" s="9">
        <v>50.990001999999997</v>
      </c>
      <c r="E61" s="9">
        <v>53.860000999999997</v>
      </c>
      <c r="F61" s="9">
        <v>44.759998000000003</v>
      </c>
      <c r="G61" s="9">
        <v>46.549999</v>
      </c>
      <c r="H61" s="12" t="str">
        <f t="shared" si="0"/>
        <v>Jun-19</v>
      </c>
      <c r="I61" s="4">
        <f t="shared" si="5"/>
        <v>1.4607970238624434E-2</v>
      </c>
      <c r="J61" s="3">
        <f t="shared" si="1"/>
        <v>46.549999</v>
      </c>
      <c r="K61" s="11">
        <f t="shared" si="6"/>
        <v>52.215999599999996</v>
      </c>
      <c r="L61" s="11">
        <f t="shared" si="8"/>
        <v>54.806000099999991</v>
      </c>
      <c r="M61">
        <f t="shared" si="2"/>
        <v>9.1000029999999938</v>
      </c>
      <c r="N61">
        <f t="shared" si="7"/>
        <v>5.3398177185702895</v>
      </c>
      <c r="O61">
        <f t="shared" si="3"/>
        <v>45.759998000000003</v>
      </c>
      <c r="P61">
        <f t="shared" si="9"/>
        <v>53.280833583333333</v>
      </c>
      <c r="Q61">
        <f t="shared" si="4"/>
        <v>51.085259261036811</v>
      </c>
      <c r="R61">
        <v>-18618.514426978109</v>
      </c>
    </row>
    <row r="62" spans="1:18" ht="15.5" x14ac:dyDescent="0.35">
      <c r="A62">
        <v>61</v>
      </c>
      <c r="C62" s="8">
        <v>43647</v>
      </c>
      <c r="D62" s="9">
        <v>46.759998000000003</v>
      </c>
      <c r="E62" s="9">
        <v>47.610000999999997</v>
      </c>
      <c r="F62" s="9">
        <v>44.790000999999997</v>
      </c>
      <c r="G62" s="9">
        <v>47.23</v>
      </c>
      <c r="H62" s="12" t="str">
        <f t="shared" si="0"/>
        <v>Jul-19</v>
      </c>
      <c r="I62" s="4">
        <f t="shared" si="5"/>
        <v>-6.6694854965064512E-2</v>
      </c>
      <c r="J62" s="3">
        <f t="shared" si="1"/>
        <v>47.23</v>
      </c>
      <c r="K62" s="11">
        <f t="shared" si="6"/>
        <v>50.11</v>
      </c>
      <c r="L62" s="11">
        <f t="shared" si="8"/>
        <v>53.152000100000009</v>
      </c>
      <c r="M62">
        <f t="shared" si="2"/>
        <v>2.8200000000000003</v>
      </c>
      <c r="N62">
        <f t="shared" si="7"/>
        <v>4.7878109439610039</v>
      </c>
      <c r="O62">
        <f t="shared" si="3"/>
        <v>45.790000999999997</v>
      </c>
      <c r="P62">
        <f t="shared" si="9"/>
        <v>51.609166833333347</v>
      </c>
      <c r="Q62">
        <f t="shared" si="4"/>
        <v>46.928866825906255</v>
      </c>
      <c r="R62">
        <v>-18631.363673083582</v>
      </c>
    </row>
    <row r="63" spans="1:18" ht="15.5" x14ac:dyDescent="0.35">
      <c r="A63">
        <v>62</v>
      </c>
      <c r="C63" s="8">
        <v>43678</v>
      </c>
      <c r="D63" s="9">
        <v>47.09</v>
      </c>
      <c r="E63" s="9">
        <v>47.459999000000003</v>
      </c>
      <c r="F63" s="9">
        <v>42.419998</v>
      </c>
      <c r="G63" s="9">
        <v>44.080002</v>
      </c>
      <c r="H63" s="12" t="str">
        <f t="shared" si="0"/>
        <v>Aug-19</v>
      </c>
      <c r="I63" s="4">
        <f t="shared" si="5"/>
        <v>-8.3938970783167602E-3</v>
      </c>
      <c r="J63" s="3">
        <f t="shared" si="1"/>
        <v>44.080002</v>
      </c>
      <c r="K63" s="11">
        <f t="shared" si="6"/>
        <v>48.782000199999999</v>
      </c>
      <c r="L63" s="11">
        <f t="shared" si="8"/>
        <v>51.956000200000005</v>
      </c>
      <c r="M63">
        <f t="shared" si="2"/>
        <v>5.0400010000000037</v>
      </c>
      <c r="N63">
        <f t="shared" si="7"/>
        <v>5.4361408435275678</v>
      </c>
      <c r="O63">
        <f t="shared" si="3"/>
        <v>43.419998</v>
      </c>
      <c r="P63">
        <f t="shared" si="9"/>
        <v>50.513333333333343</v>
      </c>
      <c r="Q63">
        <f t="shared" si="4"/>
        <v>47.253126050336768</v>
      </c>
      <c r="R63">
        <v>-18644.641227392571</v>
      </c>
    </row>
    <row r="64" spans="1:18" ht="15.5" x14ac:dyDescent="0.35">
      <c r="A64">
        <v>63</v>
      </c>
      <c r="C64" s="8">
        <v>43709</v>
      </c>
      <c r="D64" s="9">
        <v>43.82</v>
      </c>
      <c r="E64" s="9">
        <v>50.869999</v>
      </c>
      <c r="F64" s="9">
        <v>42.919998</v>
      </c>
      <c r="G64" s="9">
        <v>43.709999000000003</v>
      </c>
      <c r="H64" s="12" t="str">
        <f t="shared" si="0"/>
        <v>Sep-19</v>
      </c>
      <c r="I64" s="4">
        <f t="shared" si="5"/>
        <v>-1.8760009580416605E-2</v>
      </c>
      <c r="J64" s="3">
        <f t="shared" si="1"/>
        <v>43.709999000000003</v>
      </c>
      <c r="K64" s="11">
        <f t="shared" si="6"/>
        <v>46.551999800000004</v>
      </c>
      <c r="L64" s="11">
        <f t="shared" si="8"/>
        <v>50.297999999999995</v>
      </c>
      <c r="M64">
        <f t="shared" si="2"/>
        <v>7.9500010000000003</v>
      </c>
      <c r="N64">
        <f t="shared" si="7"/>
        <v>5.1317742790494121</v>
      </c>
      <c r="O64">
        <f t="shared" si="3"/>
        <v>43.919998</v>
      </c>
      <c r="P64">
        <f t="shared" si="9"/>
        <v>49.24583341666667</v>
      </c>
      <c r="Q64">
        <f t="shared" si="4"/>
        <v>44.040031390644494</v>
      </c>
      <c r="R64">
        <v>-18657.918781701559</v>
      </c>
    </row>
    <row r="65" spans="1:18" ht="15.5" x14ac:dyDescent="0.35">
      <c r="A65">
        <v>64</v>
      </c>
      <c r="C65" s="8">
        <v>43739</v>
      </c>
      <c r="D65" s="9">
        <v>43.799999</v>
      </c>
      <c r="E65" s="9">
        <v>44.860000999999997</v>
      </c>
      <c r="F65" s="9">
        <v>39.919998</v>
      </c>
      <c r="G65" s="9">
        <v>42.889999000000003</v>
      </c>
      <c r="H65" s="12" t="str">
        <f t="shared" si="0"/>
        <v>Oct-19</v>
      </c>
      <c r="I65" s="4">
        <f t="shared" si="5"/>
        <v>5.1060924482651468E-2</v>
      </c>
      <c r="J65" s="3">
        <f t="shared" si="1"/>
        <v>42.889999000000003</v>
      </c>
      <c r="K65" s="11">
        <f t="shared" si="6"/>
        <v>44.891999800000008</v>
      </c>
      <c r="L65" s="11">
        <f t="shared" si="8"/>
        <v>49.656999999999996</v>
      </c>
      <c r="M65">
        <f t="shared" si="2"/>
        <v>4.9400029999999973</v>
      </c>
      <c r="N65">
        <f t="shared" si="7"/>
        <v>5.6449547589961506</v>
      </c>
      <c r="O65">
        <f t="shared" si="3"/>
        <v>40.919998</v>
      </c>
      <c r="P65">
        <f t="shared" si="9"/>
        <v>49.373333666666667</v>
      </c>
      <c r="Q65">
        <f t="shared" si="4"/>
        <v>44.020378452941586</v>
      </c>
      <c r="R65">
        <v>-18670.768027807033</v>
      </c>
    </row>
    <row r="66" spans="1:18" ht="15.5" x14ac:dyDescent="0.35">
      <c r="A66">
        <v>65</v>
      </c>
      <c r="C66" s="8">
        <v>43770</v>
      </c>
      <c r="D66" s="9">
        <v>43.23</v>
      </c>
      <c r="E66" s="9">
        <v>45.360000999999997</v>
      </c>
      <c r="F66" s="9">
        <v>42.470001000000003</v>
      </c>
      <c r="G66" s="9">
        <v>45.080002</v>
      </c>
      <c r="H66" s="12" t="str">
        <f t="shared" ref="H66:H122" si="10">TEXT(C66,"mmm-yy")</f>
        <v>Nov-19</v>
      </c>
      <c r="I66" s="4">
        <f t="shared" si="5"/>
        <v>0.12755101474928948</v>
      </c>
      <c r="J66" s="3">
        <f t="shared" ref="J66:J122" si="11">AVERAGEIF($H$2:$H$122,H66,$G$2:$G$122)</f>
        <v>45.080002</v>
      </c>
      <c r="K66" s="11">
        <f t="shared" si="6"/>
        <v>44.598000400000004</v>
      </c>
      <c r="L66" s="11">
        <f t="shared" si="8"/>
        <v>48.406999999999996</v>
      </c>
      <c r="M66">
        <f t="shared" ref="M66:M122" si="12">E66-F66</f>
        <v>2.8899999999999935</v>
      </c>
      <c r="N66">
        <f t="shared" si="7"/>
        <v>5.0479872565433661</v>
      </c>
      <c r="O66">
        <f t="shared" si="3"/>
        <v>43.470001000000003</v>
      </c>
      <c r="P66">
        <f t="shared" si="9"/>
        <v>48.202500083333327</v>
      </c>
      <c r="Q66">
        <f t="shared" si="4"/>
        <v>43.460298715042519</v>
      </c>
      <c r="R66">
        <v>-18684.045582116021</v>
      </c>
    </row>
    <row r="67" spans="1:18" ht="15.5" x14ac:dyDescent="0.35">
      <c r="A67">
        <v>66</v>
      </c>
      <c r="C67" s="8">
        <v>43800</v>
      </c>
      <c r="D67" s="9">
        <v>45.16</v>
      </c>
      <c r="E67" s="9">
        <v>51.740001999999997</v>
      </c>
      <c r="F67" s="9">
        <v>43.27</v>
      </c>
      <c r="G67" s="9">
        <v>50.830002</v>
      </c>
      <c r="H67" s="12" t="str">
        <f t="shared" si="10"/>
        <v>Dec-19</v>
      </c>
      <c r="I67" s="4">
        <f t="shared" si="5"/>
        <v>-0.14361602818744731</v>
      </c>
      <c r="J67" s="3">
        <f t="shared" si="11"/>
        <v>50.830002</v>
      </c>
      <c r="K67" s="11">
        <f t="shared" si="6"/>
        <v>45.318000800000007</v>
      </c>
      <c r="L67" s="11">
        <f t="shared" si="8"/>
        <v>47.714000399999989</v>
      </c>
      <c r="M67">
        <f t="shared" si="12"/>
        <v>8.4700019999999938</v>
      </c>
      <c r="N67">
        <f t="shared" si="7"/>
        <v>3.9851036613872184</v>
      </c>
      <c r="O67">
        <f t="shared" ref="O67:O122" si="13">F67+1</f>
        <v>44.27</v>
      </c>
      <c r="P67">
        <f t="shared" si="9"/>
        <v>46.177500166666668</v>
      </c>
      <c r="Q67">
        <f t="shared" ref="Q67:Q122" si="14">($W$3 * D67) + $W$3</f>
        <v>45.356712382689636</v>
      </c>
      <c r="R67">
        <v>-18696.894828221495</v>
      </c>
    </row>
    <row r="68" spans="1:18" ht="15.5" x14ac:dyDescent="0.35">
      <c r="A68">
        <v>67</v>
      </c>
      <c r="B68">
        <v>2020</v>
      </c>
      <c r="C68" s="8">
        <v>43831</v>
      </c>
      <c r="D68" s="9">
        <v>51.349997999999999</v>
      </c>
      <c r="E68" s="9">
        <v>51.939999</v>
      </c>
      <c r="F68" s="9">
        <v>43.209999000000003</v>
      </c>
      <c r="G68" s="9">
        <v>43.529998999999997</v>
      </c>
      <c r="H68" s="10" t="str">
        <f t="shared" si="10"/>
        <v>Jan-20</v>
      </c>
      <c r="I68" s="4">
        <f t="shared" ref="I68:I122" si="15">((G69 - G68) / G68)</f>
        <v>-0.23133471700745947</v>
      </c>
      <c r="J68" s="3">
        <f t="shared" si="11"/>
        <v>43.529998999999997</v>
      </c>
      <c r="K68" s="11">
        <f t="shared" si="6"/>
        <v>45.208000200000001</v>
      </c>
      <c r="L68" s="11">
        <f t="shared" si="8"/>
        <v>46.995000199999993</v>
      </c>
      <c r="M68">
        <f t="shared" si="12"/>
        <v>8.7299999999999969</v>
      </c>
      <c r="N68">
        <f t="shared" si="7"/>
        <v>4.0308487658724284</v>
      </c>
      <c r="O68">
        <f t="shared" si="13"/>
        <v>44.209999000000003</v>
      </c>
      <c r="P68">
        <f t="shared" si="9"/>
        <v>43.048333416666658</v>
      </c>
      <c r="Q68">
        <f t="shared" si="14"/>
        <v>51.438990522538518</v>
      </c>
      <c r="R68">
        <v>-18710.172382530487</v>
      </c>
    </row>
    <row r="69" spans="1:18" ht="15.5" x14ac:dyDescent="0.35">
      <c r="A69">
        <v>68</v>
      </c>
      <c r="C69" s="8">
        <v>43862</v>
      </c>
      <c r="D69" s="9">
        <v>43.75</v>
      </c>
      <c r="E69" s="9">
        <v>45.040000999999997</v>
      </c>
      <c r="F69" s="9">
        <v>30.190000999999999</v>
      </c>
      <c r="G69" s="9">
        <v>33.459999000000003</v>
      </c>
      <c r="H69" s="10" t="str">
        <f t="shared" si="10"/>
        <v>Feb-20</v>
      </c>
      <c r="I69" s="4">
        <f t="shared" si="15"/>
        <v>-0.60639568459042692</v>
      </c>
      <c r="J69" s="3">
        <f t="shared" si="11"/>
        <v>33.459999000000003</v>
      </c>
      <c r="K69" s="11">
        <f t="shared" si="6"/>
        <v>43.158000200000004</v>
      </c>
      <c r="L69" s="11">
        <f t="shared" si="8"/>
        <v>44.854999999999997</v>
      </c>
      <c r="M69">
        <f t="shared" si="12"/>
        <v>14.849999999999998</v>
      </c>
      <c r="N69">
        <f t="shared" si="7"/>
        <v>4.9640002607666336</v>
      </c>
      <c r="O69">
        <f t="shared" si="13"/>
        <v>31.190000999999999</v>
      </c>
      <c r="P69">
        <f t="shared" si="9"/>
        <v>39.801666666666662</v>
      </c>
      <c r="Q69">
        <f t="shared" si="14"/>
        <v>43.971249547776466</v>
      </c>
      <c r="R69">
        <v>-18723.449936839475</v>
      </c>
    </row>
    <row r="70" spans="1:18" ht="15.5" x14ac:dyDescent="0.35">
      <c r="A70">
        <v>69</v>
      </c>
      <c r="C70" s="8">
        <v>43891</v>
      </c>
      <c r="D70" s="9">
        <v>32.709999000000003</v>
      </c>
      <c r="E70" s="9">
        <v>33.340000000000003</v>
      </c>
      <c r="F70" s="9">
        <v>7.9</v>
      </c>
      <c r="G70" s="9">
        <v>13.17</v>
      </c>
      <c r="H70" s="10" t="str">
        <f t="shared" si="10"/>
        <v>Mar-20</v>
      </c>
      <c r="I70" s="4">
        <f t="shared" si="15"/>
        <v>0.20728929384965836</v>
      </c>
      <c r="J70" s="3">
        <f t="shared" si="11"/>
        <v>13.17</v>
      </c>
      <c r="K70" s="11">
        <f t="shared" si="6"/>
        <v>37.214000399999996</v>
      </c>
      <c r="L70" s="11">
        <f t="shared" si="8"/>
        <v>41.053000099999998</v>
      </c>
      <c r="M70">
        <f t="shared" si="12"/>
        <v>25.440000000000005</v>
      </c>
      <c r="N70">
        <f t="shared" si="7"/>
        <v>10.754981623900932</v>
      </c>
      <c r="O70">
        <f t="shared" si="13"/>
        <v>8.9</v>
      </c>
      <c r="P70">
        <f t="shared" si="9"/>
        <v>36.84750008333333</v>
      </c>
      <c r="Q70">
        <f t="shared" si="14"/>
        <v>33.123369347135089</v>
      </c>
      <c r="R70">
        <v>-18735.870874741431</v>
      </c>
    </row>
    <row r="71" spans="1:18" ht="15.5" x14ac:dyDescent="0.35">
      <c r="A71">
        <v>70</v>
      </c>
      <c r="C71" s="8">
        <v>43922</v>
      </c>
      <c r="D71" s="9">
        <v>12.6</v>
      </c>
      <c r="E71" s="9">
        <v>16.829999999999998</v>
      </c>
      <c r="F71" s="9">
        <v>7.8</v>
      </c>
      <c r="G71" s="9">
        <v>15.9</v>
      </c>
      <c r="H71" s="10" t="str">
        <f t="shared" si="10"/>
        <v>Apr-20</v>
      </c>
      <c r="I71" s="4">
        <f t="shared" si="15"/>
        <v>-1.0062893081761014E-2</v>
      </c>
      <c r="J71" s="3">
        <f t="shared" si="11"/>
        <v>15.9</v>
      </c>
      <c r="K71" s="11">
        <f t="shared" ref="K71:K122" si="16">IF(COUNTA(G67:G71)&lt;5,"",AVERAGE(G67:G71))</f>
        <v>31.377999999999997</v>
      </c>
      <c r="L71" s="11">
        <f t="shared" si="8"/>
        <v>37.988000200000002</v>
      </c>
      <c r="M71">
        <f t="shared" si="12"/>
        <v>9.0299999999999976</v>
      </c>
      <c r="N71">
        <f t="shared" si="7"/>
        <v>13.121402536941174</v>
      </c>
      <c r="O71">
        <f t="shared" si="13"/>
        <v>8.8000000000000007</v>
      </c>
      <c r="P71">
        <f t="shared" si="9"/>
        <v>34.336666833333332</v>
      </c>
      <c r="Q71">
        <f t="shared" si="14"/>
        <v>13.363329471503015</v>
      </c>
      <c r="R71">
        <v>-18749.148429050423</v>
      </c>
    </row>
    <row r="72" spans="1:18" ht="15.5" x14ac:dyDescent="0.35">
      <c r="A72">
        <v>71</v>
      </c>
      <c r="C72" s="8">
        <v>43952</v>
      </c>
      <c r="D72" s="9">
        <v>14.9</v>
      </c>
      <c r="E72" s="9">
        <v>18.16</v>
      </c>
      <c r="F72" s="9">
        <v>11</v>
      </c>
      <c r="G72" s="9">
        <v>15.74</v>
      </c>
      <c r="H72" s="10" t="str">
        <f t="shared" si="10"/>
        <v>May-20</v>
      </c>
      <c r="I72" s="4">
        <f t="shared" si="15"/>
        <v>4.3202033036848886E-2</v>
      </c>
      <c r="J72" s="3">
        <f t="shared" si="11"/>
        <v>15.74</v>
      </c>
      <c r="K72" s="11">
        <f t="shared" si="16"/>
        <v>24.359999600000002</v>
      </c>
      <c r="L72" s="11">
        <f t="shared" si="8"/>
        <v>34.839000200000001</v>
      </c>
      <c r="M72">
        <f t="shared" si="12"/>
        <v>7.16</v>
      </c>
      <c r="N72">
        <f t="shared" si="7"/>
        <v>14.375665331169186</v>
      </c>
      <c r="O72">
        <f t="shared" si="13"/>
        <v>12</v>
      </c>
      <c r="P72">
        <f t="shared" si="9"/>
        <v>31.557500166666667</v>
      </c>
      <c r="Q72">
        <f t="shared" si="14"/>
        <v>15.623304308595436</v>
      </c>
      <c r="R72">
        <v>-18761.997675155897</v>
      </c>
    </row>
    <row r="73" spans="1:18" ht="15.5" x14ac:dyDescent="0.35">
      <c r="A73">
        <v>72</v>
      </c>
      <c r="C73" s="8">
        <v>43983</v>
      </c>
      <c r="D73" s="9">
        <v>15.98</v>
      </c>
      <c r="E73" s="9">
        <v>25.280000999999999</v>
      </c>
      <c r="F73" s="9">
        <v>14.92</v>
      </c>
      <c r="G73" s="9">
        <v>16.420000000000002</v>
      </c>
      <c r="H73" s="10" t="str">
        <f t="shared" si="10"/>
        <v>Jun-20</v>
      </c>
      <c r="I73" s="4">
        <f t="shared" si="15"/>
        <v>-0.15468940316686972</v>
      </c>
      <c r="J73" s="3">
        <f t="shared" si="11"/>
        <v>16.420000000000002</v>
      </c>
      <c r="K73" s="11">
        <f t="shared" si="16"/>
        <v>18.9379998</v>
      </c>
      <c r="L73" s="11">
        <f t="shared" si="8"/>
        <v>32.073</v>
      </c>
      <c r="M73">
        <f t="shared" si="12"/>
        <v>10.360000999999999</v>
      </c>
      <c r="N73">
        <f t="shared" si="7"/>
        <v>15.045463201244461</v>
      </c>
      <c r="O73">
        <f t="shared" si="13"/>
        <v>15.92</v>
      </c>
      <c r="P73">
        <f t="shared" si="9"/>
        <v>29.257500000000004</v>
      </c>
      <c r="Q73">
        <f t="shared" si="14"/>
        <v>16.684509884273616</v>
      </c>
      <c r="R73">
        <v>-18775.275229464885</v>
      </c>
    </row>
    <row r="74" spans="1:18" ht="15.5" x14ac:dyDescent="0.35">
      <c r="A74">
        <v>73</v>
      </c>
      <c r="C74" s="8">
        <v>44013</v>
      </c>
      <c r="D74" s="9">
        <v>16.940000999999999</v>
      </c>
      <c r="E74" s="9">
        <v>17.829999999999998</v>
      </c>
      <c r="F74" s="9">
        <v>13.62</v>
      </c>
      <c r="G74" s="9">
        <v>13.88</v>
      </c>
      <c r="H74" s="10" t="str">
        <f t="shared" si="10"/>
        <v>Jul-20</v>
      </c>
      <c r="I74" s="4">
        <f t="shared" si="15"/>
        <v>0.18731988472622474</v>
      </c>
      <c r="J74" s="3">
        <f t="shared" si="11"/>
        <v>13.88</v>
      </c>
      <c r="K74" s="11">
        <f t="shared" si="16"/>
        <v>15.022</v>
      </c>
      <c r="L74" s="11">
        <f t="shared" si="8"/>
        <v>29.090000100000005</v>
      </c>
      <c r="M74">
        <f t="shared" si="12"/>
        <v>4.2099999999999991</v>
      </c>
      <c r="N74">
        <f t="shared" si="7"/>
        <v>15.434003893639838</v>
      </c>
      <c r="O74">
        <f t="shared" si="13"/>
        <v>14.62</v>
      </c>
      <c r="P74">
        <f t="shared" si="9"/>
        <v>26.880000083333339</v>
      </c>
      <c r="Q74">
        <f t="shared" si="14"/>
        <v>17.627804711918643</v>
      </c>
      <c r="R74">
        <v>-18788.124475570359</v>
      </c>
    </row>
    <row r="75" spans="1:18" ht="15.5" x14ac:dyDescent="0.35">
      <c r="A75">
        <v>74</v>
      </c>
      <c r="C75" s="8">
        <v>44044</v>
      </c>
      <c r="D75" s="9">
        <v>13.48</v>
      </c>
      <c r="E75" s="9">
        <v>17.34</v>
      </c>
      <c r="F75" s="9">
        <v>12.83</v>
      </c>
      <c r="G75" s="9">
        <v>16.48</v>
      </c>
      <c r="H75" s="10" t="str">
        <f t="shared" si="10"/>
        <v>Aug-20</v>
      </c>
      <c r="I75" s="4">
        <f t="shared" si="15"/>
        <v>-7.8883495145631102E-2</v>
      </c>
      <c r="J75" s="3">
        <f t="shared" si="11"/>
        <v>16.48</v>
      </c>
      <c r="K75" s="11">
        <f t="shared" si="16"/>
        <v>15.684000000000001</v>
      </c>
      <c r="L75" s="11">
        <f t="shared" si="8"/>
        <v>26.4490002</v>
      </c>
      <c r="M75">
        <f t="shared" si="12"/>
        <v>4.51</v>
      </c>
      <c r="N75">
        <f t="shared" ref="N75:N122" si="17">STDEV(G66:G75)</f>
        <v>15.065411503263618</v>
      </c>
      <c r="O75">
        <f t="shared" si="13"/>
        <v>13.83</v>
      </c>
      <c r="P75">
        <f t="shared" si="9"/>
        <v>24.4483335</v>
      </c>
      <c r="Q75">
        <f t="shared" si="14"/>
        <v>14.228015496129681</v>
      </c>
      <c r="R75">
        <v>-18801.402029879348</v>
      </c>
    </row>
    <row r="76" spans="1:18" ht="15.5" x14ac:dyDescent="0.35">
      <c r="A76">
        <v>75</v>
      </c>
      <c r="C76" s="8">
        <v>44075</v>
      </c>
      <c r="D76" s="9">
        <v>16.09</v>
      </c>
      <c r="E76" s="9">
        <v>18.920000000000002</v>
      </c>
      <c r="F76" s="9">
        <v>13.4</v>
      </c>
      <c r="G76" s="9">
        <v>15.18</v>
      </c>
      <c r="H76" s="10" t="str">
        <f t="shared" si="10"/>
        <v>Sep-20</v>
      </c>
      <c r="I76" s="4">
        <f t="shared" si="15"/>
        <v>-9.6837944664031547E-2</v>
      </c>
      <c r="J76" s="3">
        <f t="shared" si="11"/>
        <v>15.18</v>
      </c>
      <c r="K76" s="11">
        <f t="shared" si="16"/>
        <v>15.540000000000003</v>
      </c>
      <c r="L76" s="11">
        <f t="shared" ref="L76:L122" si="18">IF(COUNTA(G67:G76)&lt;10,"",AVERAGE(G67:G76))</f>
        <v>23.459</v>
      </c>
      <c r="M76">
        <f t="shared" si="12"/>
        <v>5.5200000000000014</v>
      </c>
      <c r="N76">
        <f t="shared" si="17"/>
        <v>13.87713843116723</v>
      </c>
      <c r="O76">
        <f t="shared" si="13"/>
        <v>14.4</v>
      </c>
      <c r="P76">
        <f t="shared" ref="P76:P122" si="19">IF(COUNTA(G67:G78)&lt;12,"",AVERAGE(G67:G78))</f>
        <v>22.356666666666669</v>
      </c>
      <c r="Q76">
        <f t="shared" si="14"/>
        <v>16.792595637351951</v>
      </c>
      <c r="R76">
        <v>-18814.679584188336</v>
      </c>
    </row>
    <row r="77" spans="1:18" ht="15.5" x14ac:dyDescent="0.35">
      <c r="A77">
        <v>76</v>
      </c>
      <c r="C77" s="8">
        <v>44105</v>
      </c>
      <c r="D77" s="9">
        <v>15.43</v>
      </c>
      <c r="E77" s="9">
        <v>16.170000000000002</v>
      </c>
      <c r="F77" s="9">
        <v>12.11</v>
      </c>
      <c r="G77" s="9">
        <v>13.71</v>
      </c>
      <c r="H77" s="10" t="str">
        <f t="shared" si="10"/>
        <v>Oct-20</v>
      </c>
      <c r="I77" s="4">
        <f t="shared" si="15"/>
        <v>0.45733041575492334</v>
      </c>
      <c r="J77" s="3">
        <f t="shared" si="11"/>
        <v>13.71</v>
      </c>
      <c r="K77" s="11">
        <f t="shared" si="16"/>
        <v>15.134</v>
      </c>
      <c r="L77" s="11">
        <f t="shared" si="18"/>
        <v>19.746999800000001</v>
      </c>
      <c r="M77">
        <f t="shared" si="12"/>
        <v>4.0600000000000023</v>
      </c>
      <c r="N77">
        <f t="shared" si="17"/>
        <v>10.226634805513175</v>
      </c>
      <c r="O77">
        <f t="shared" si="13"/>
        <v>13.11</v>
      </c>
      <c r="P77">
        <f t="shared" si="19"/>
        <v>19.925833166666667</v>
      </c>
      <c r="Q77">
        <f t="shared" si="14"/>
        <v>16.144081118881953</v>
      </c>
      <c r="R77">
        <v>-18827.52883029381</v>
      </c>
    </row>
    <row r="78" spans="1:18" ht="15.5" x14ac:dyDescent="0.35">
      <c r="A78">
        <v>77</v>
      </c>
      <c r="C78" s="8">
        <v>44136</v>
      </c>
      <c r="D78" s="9">
        <v>13.49</v>
      </c>
      <c r="E78" s="9">
        <v>22.25</v>
      </c>
      <c r="F78" s="9">
        <v>12.93</v>
      </c>
      <c r="G78" s="9">
        <v>19.98</v>
      </c>
      <c r="H78" s="10" t="str">
        <f t="shared" si="10"/>
        <v>Nov-20</v>
      </c>
      <c r="I78" s="4">
        <f t="shared" si="15"/>
        <v>8.4084084084084063E-2</v>
      </c>
      <c r="J78" s="3">
        <f t="shared" si="11"/>
        <v>19.98</v>
      </c>
      <c r="K78" s="11">
        <f t="shared" si="16"/>
        <v>15.846</v>
      </c>
      <c r="L78" s="11">
        <f t="shared" si="18"/>
        <v>17.391999899999998</v>
      </c>
      <c r="M78">
        <f t="shared" si="12"/>
        <v>9.32</v>
      </c>
      <c r="N78">
        <f t="shared" si="17"/>
        <v>5.96489291944496</v>
      </c>
      <c r="O78">
        <f t="shared" si="13"/>
        <v>13.93</v>
      </c>
      <c r="P78">
        <f t="shared" si="19"/>
        <v>17.854166583333335</v>
      </c>
      <c r="Q78">
        <f t="shared" si="14"/>
        <v>14.237841473682256</v>
      </c>
      <c r="R78">
        <v>-18840.806384602802</v>
      </c>
    </row>
    <row r="79" spans="1:18" ht="15.5" x14ac:dyDescent="0.35">
      <c r="A79">
        <v>78</v>
      </c>
      <c r="C79" s="8">
        <v>44166</v>
      </c>
      <c r="D79" s="9">
        <v>20.99</v>
      </c>
      <c r="E79" s="9">
        <v>24.379999000000002</v>
      </c>
      <c r="F79" s="9">
        <v>19.23</v>
      </c>
      <c r="G79" s="9">
        <v>21.66</v>
      </c>
      <c r="H79" s="10" t="str">
        <f t="shared" si="10"/>
        <v>Dec-20</v>
      </c>
      <c r="I79" s="4">
        <f t="shared" si="15"/>
        <v>-0.13804247460757149</v>
      </c>
      <c r="J79" s="3">
        <f t="shared" si="11"/>
        <v>21.66</v>
      </c>
      <c r="K79" s="11">
        <f t="shared" si="16"/>
        <v>17.402000000000001</v>
      </c>
      <c r="L79" s="11">
        <f t="shared" si="18"/>
        <v>16.212</v>
      </c>
      <c r="M79">
        <f t="shared" si="12"/>
        <v>5.1499990000000011</v>
      </c>
      <c r="N79">
        <f t="shared" si="17"/>
        <v>2.7147899448105512</v>
      </c>
      <c r="O79">
        <f t="shared" si="13"/>
        <v>20.23</v>
      </c>
      <c r="P79">
        <f t="shared" si="19"/>
        <v>17.295000000000002</v>
      </c>
      <c r="Q79">
        <f t="shared" si="14"/>
        <v>21.607324638114065</v>
      </c>
      <c r="R79">
        <v>-18853.655630708272</v>
      </c>
    </row>
    <row r="80" spans="1:18" ht="15.5" x14ac:dyDescent="0.35">
      <c r="A80">
        <v>79</v>
      </c>
      <c r="B80">
        <v>2021</v>
      </c>
      <c r="C80" s="8">
        <v>44197</v>
      </c>
      <c r="D80" s="9">
        <v>21.700001</v>
      </c>
      <c r="E80" s="9">
        <v>21.709999</v>
      </c>
      <c r="F80" s="9">
        <v>17.959999</v>
      </c>
      <c r="G80" s="9">
        <v>18.670000000000002</v>
      </c>
      <c r="H80" s="12" t="str">
        <f t="shared" si="10"/>
        <v>Jan-21</v>
      </c>
      <c r="I80" s="4">
        <f t="shared" si="15"/>
        <v>0.43277986073915359</v>
      </c>
      <c r="J80" s="3">
        <f t="shared" si="11"/>
        <v>18.670000000000002</v>
      </c>
      <c r="K80" s="11">
        <f t="shared" si="16"/>
        <v>17.84</v>
      </c>
      <c r="L80" s="11">
        <f t="shared" si="18"/>
        <v>16.762</v>
      </c>
      <c r="M80">
        <f t="shared" si="12"/>
        <v>3.75</v>
      </c>
      <c r="N80">
        <f t="shared" si="17"/>
        <v>2.5840055039501109</v>
      </c>
      <c r="O80">
        <f t="shared" si="13"/>
        <v>18.959999</v>
      </c>
      <c r="P80">
        <f t="shared" si="19"/>
        <v>18.409166750000001</v>
      </c>
      <c r="Q80">
        <f t="shared" si="14"/>
        <v>22.304970026944702</v>
      </c>
      <c r="R80">
        <v>-18866.933185017264</v>
      </c>
    </row>
    <row r="81" spans="1:18" ht="15.5" x14ac:dyDescent="0.35">
      <c r="A81">
        <v>80</v>
      </c>
      <c r="C81" s="8">
        <v>44228</v>
      </c>
      <c r="D81" s="9">
        <v>18.959999</v>
      </c>
      <c r="E81" s="9">
        <v>28.24</v>
      </c>
      <c r="F81" s="9">
        <v>18.41</v>
      </c>
      <c r="G81" s="9">
        <v>26.75</v>
      </c>
      <c r="H81" s="12" t="str">
        <f t="shared" si="10"/>
        <v>Feb-21</v>
      </c>
      <c r="I81" s="4">
        <f t="shared" si="15"/>
        <v>-7.8504299065420488E-3</v>
      </c>
      <c r="J81" s="3">
        <f t="shared" si="11"/>
        <v>26.75</v>
      </c>
      <c r="K81" s="11">
        <f t="shared" si="16"/>
        <v>20.154</v>
      </c>
      <c r="L81" s="11">
        <f t="shared" si="18"/>
        <v>17.847000000000001</v>
      </c>
      <c r="M81">
        <f t="shared" si="12"/>
        <v>9.8299999999999983</v>
      </c>
      <c r="N81">
        <f t="shared" si="17"/>
        <v>4.0461038872805215</v>
      </c>
      <c r="O81">
        <f t="shared" si="13"/>
        <v>19.41</v>
      </c>
      <c r="P81">
        <f t="shared" si="19"/>
        <v>19.41416666666667</v>
      </c>
      <c r="Q81">
        <f t="shared" si="14"/>
        <v>19.612650212343436</v>
      </c>
      <c r="R81">
        <v>-18880.210739326252</v>
      </c>
    </row>
    <row r="82" spans="1:18" ht="15.5" x14ac:dyDescent="0.35">
      <c r="A82">
        <v>81</v>
      </c>
      <c r="C82" s="8">
        <v>44256</v>
      </c>
      <c r="D82" s="9">
        <v>27.549999</v>
      </c>
      <c r="E82" s="9">
        <v>30.120000999999998</v>
      </c>
      <c r="F82" s="9">
        <v>23.26</v>
      </c>
      <c r="G82" s="9">
        <v>26.540001</v>
      </c>
      <c r="H82" s="12" t="str">
        <f t="shared" si="10"/>
        <v>Mar-21</v>
      </c>
      <c r="I82" s="4">
        <f t="shared" si="15"/>
        <v>5.3504067313335804E-2</v>
      </c>
      <c r="J82" s="3">
        <f t="shared" si="11"/>
        <v>26.540001</v>
      </c>
      <c r="K82" s="11">
        <f t="shared" si="16"/>
        <v>22.720000200000001</v>
      </c>
      <c r="L82" s="11">
        <f t="shared" si="18"/>
        <v>18.927000100000001</v>
      </c>
      <c r="M82">
        <f t="shared" si="12"/>
        <v>6.8600009999999969</v>
      </c>
      <c r="N82">
        <f t="shared" si="17"/>
        <v>4.7935538338944923</v>
      </c>
      <c r="O82">
        <f t="shared" si="13"/>
        <v>24.26</v>
      </c>
      <c r="P82">
        <f t="shared" si="19"/>
        <v>20.565833250000001</v>
      </c>
      <c r="Q82">
        <f t="shared" si="14"/>
        <v>28.053164930006002</v>
      </c>
      <c r="R82">
        <v>-18892.203369024694</v>
      </c>
    </row>
    <row r="83" spans="1:18" ht="15.5" x14ac:dyDescent="0.35">
      <c r="A83">
        <v>82</v>
      </c>
      <c r="C83" s="8">
        <v>44287</v>
      </c>
      <c r="D83" s="9">
        <v>26.99</v>
      </c>
      <c r="E83" s="9">
        <v>30.629999000000002</v>
      </c>
      <c r="F83" s="9">
        <v>25.120000999999998</v>
      </c>
      <c r="G83" s="9">
        <v>27.959999</v>
      </c>
      <c r="H83" s="12" t="str">
        <f t="shared" si="10"/>
        <v>Apr-21</v>
      </c>
      <c r="I83" s="4">
        <f t="shared" si="15"/>
        <v>5.7224608627489633E-2</v>
      </c>
      <c r="J83" s="3">
        <f t="shared" si="11"/>
        <v>27.959999</v>
      </c>
      <c r="K83" s="11">
        <f t="shared" si="16"/>
        <v>24.315999999999999</v>
      </c>
      <c r="L83" s="11">
        <f t="shared" si="18"/>
        <v>20.081</v>
      </c>
      <c r="M83">
        <f t="shared" si="12"/>
        <v>5.5099980000000031</v>
      </c>
      <c r="N83">
        <f t="shared" si="17"/>
        <v>5.4650026650395258</v>
      </c>
      <c r="O83">
        <f t="shared" si="13"/>
        <v>26.120000999999998</v>
      </c>
      <c r="P83">
        <f t="shared" si="19"/>
        <v>21.394166666666667</v>
      </c>
      <c r="Q83">
        <f t="shared" si="14"/>
        <v>27.502911169659512</v>
      </c>
      <c r="R83">
        <v>-18905.480923333682</v>
      </c>
    </row>
    <row r="84" spans="1:18" ht="15.5" x14ac:dyDescent="0.35">
      <c r="A84">
        <v>83</v>
      </c>
      <c r="C84" s="8">
        <v>44317</v>
      </c>
      <c r="D84" s="9">
        <v>28.02</v>
      </c>
      <c r="E84" s="9">
        <v>30.07</v>
      </c>
      <c r="F84" s="9">
        <v>24.290001</v>
      </c>
      <c r="G84" s="9">
        <v>29.559999000000001</v>
      </c>
      <c r="H84" s="12" t="str">
        <f t="shared" si="10"/>
        <v>May-21</v>
      </c>
      <c r="I84" s="4">
        <f t="shared" si="15"/>
        <v>-0.10825433383810333</v>
      </c>
      <c r="J84" s="3">
        <f t="shared" si="11"/>
        <v>29.559999000000001</v>
      </c>
      <c r="K84" s="11">
        <f t="shared" si="16"/>
        <v>25.895999799999998</v>
      </c>
      <c r="L84" s="11">
        <f t="shared" si="18"/>
        <v>21.6489999</v>
      </c>
      <c r="M84">
        <f t="shared" si="12"/>
        <v>5.7799990000000001</v>
      </c>
      <c r="N84">
        <f t="shared" si="17"/>
        <v>5.73109521565374</v>
      </c>
      <c r="O84">
        <f t="shared" si="13"/>
        <v>25.290001</v>
      </c>
      <c r="P84">
        <f t="shared" si="19"/>
        <v>22.041666666666668</v>
      </c>
      <c r="Q84">
        <f t="shared" si="14"/>
        <v>28.514986857574819</v>
      </c>
      <c r="R84">
        <v>-18918.330169439156</v>
      </c>
    </row>
    <row r="85" spans="1:18" ht="15.5" x14ac:dyDescent="0.35">
      <c r="A85">
        <v>84</v>
      </c>
      <c r="C85" s="8">
        <v>44348</v>
      </c>
      <c r="D85" s="9">
        <v>30.190000999999999</v>
      </c>
      <c r="E85" s="9">
        <v>31.52</v>
      </c>
      <c r="F85" s="9">
        <v>25.690000999999999</v>
      </c>
      <c r="G85" s="9">
        <v>26.360001</v>
      </c>
      <c r="H85" s="12" t="str">
        <f t="shared" si="10"/>
        <v>Jun-21</v>
      </c>
      <c r="I85" s="4">
        <f t="shared" si="15"/>
        <v>-0.17867984906373871</v>
      </c>
      <c r="J85" s="3">
        <f t="shared" si="11"/>
        <v>26.360001</v>
      </c>
      <c r="K85" s="11">
        <f t="shared" si="16"/>
        <v>27.434000000000005</v>
      </c>
      <c r="L85" s="11">
        <f t="shared" si="18"/>
        <v>22.637000000000004</v>
      </c>
      <c r="M85">
        <f t="shared" si="12"/>
        <v>5.8299990000000008</v>
      </c>
      <c r="N85">
        <f t="shared" si="17"/>
        <v>5.5908914093471154</v>
      </c>
      <c r="O85">
        <f t="shared" si="13"/>
        <v>26.690000999999999</v>
      </c>
      <c r="P85">
        <f t="shared" si="19"/>
        <v>22.67999991666667</v>
      </c>
      <c r="Q85">
        <f t="shared" si="14"/>
        <v>30.64722496908151</v>
      </c>
      <c r="R85">
        <v>-18931.607723748148</v>
      </c>
    </row>
    <row r="86" spans="1:18" ht="15.5" x14ac:dyDescent="0.35">
      <c r="A86">
        <v>85</v>
      </c>
      <c r="C86" s="8">
        <v>44378</v>
      </c>
      <c r="D86" s="9">
        <v>26.59</v>
      </c>
      <c r="E86" s="9">
        <v>26.85</v>
      </c>
      <c r="F86" s="9">
        <v>19.190000999999999</v>
      </c>
      <c r="G86" s="9">
        <v>21.65</v>
      </c>
      <c r="H86" s="12" t="str">
        <f t="shared" si="10"/>
        <v>Jul-21</v>
      </c>
      <c r="I86" s="4">
        <f t="shared" si="15"/>
        <v>0.11501150115473446</v>
      </c>
      <c r="J86" s="3">
        <f t="shared" si="11"/>
        <v>21.65</v>
      </c>
      <c r="K86" s="11">
        <f t="shared" si="16"/>
        <v>26.413999999999998</v>
      </c>
      <c r="L86" s="11">
        <f t="shared" si="18"/>
        <v>23.284000000000002</v>
      </c>
      <c r="M86">
        <f t="shared" si="12"/>
        <v>7.6599990000000027</v>
      </c>
      <c r="N86">
        <f t="shared" si="17"/>
        <v>4.9721874323302115</v>
      </c>
      <c r="O86">
        <f t="shared" si="13"/>
        <v>20.190000999999999</v>
      </c>
      <c r="P86">
        <f t="shared" si="19"/>
        <v>23.499166583333334</v>
      </c>
      <c r="Q86">
        <f t="shared" si="14"/>
        <v>27.109872067556484</v>
      </c>
      <c r="R86">
        <v>-18944.456969853618</v>
      </c>
    </row>
    <row r="87" spans="1:18" ht="15.5" x14ac:dyDescent="0.35">
      <c r="A87">
        <v>86</v>
      </c>
      <c r="C87" s="8">
        <v>44409</v>
      </c>
      <c r="D87" s="9">
        <v>21.83</v>
      </c>
      <c r="E87" s="9">
        <v>24.639999</v>
      </c>
      <c r="F87" s="9">
        <v>20.52</v>
      </c>
      <c r="G87" s="9">
        <v>24.139999</v>
      </c>
      <c r="H87" s="12" t="str">
        <f t="shared" si="10"/>
        <v>Aug-21</v>
      </c>
      <c r="I87" s="4">
        <f t="shared" si="15"/>
        <v>3.6039810937854723E-2</v>
      </c>
      <c r="J87" s="3">
        <f t="shared" si="11"/>
        <v>24.139999</v>
      </c>
      <c r="K87" s="11">
        <f t="shared" si="16"/>
        <v>25.9339996</v>
      </c>
      <c r="L87" s="11">
        <f t="shared" si="18"/>
        <v>24.326999900000001</v>
      </c>
      <c r="M87">
        <f t="shared" si="12"/>
        <v>4.119999</v>
      </c>
      <c r="N87">
        <f t="shared" si="17"/>
        <v>3.6620668289005658</v>
      </c>
      <c r="O87">
        <f t="shared" si="13"/>
        <v>21.52</v>
      </c>
      <c r="P87">
        <f t="shared" si="19"/>
        <v>24.203333250000004</v>
      </c>
      <c r="Q87">
        <f t="shared" si="14"/>
        <v>22.432706752530429</v>
      </c>
      <c r="R87">
        <v>-18957.73452416261</v>
      </c>
    </row>
    <row r="88" spans="1:18" ht="15.5" x14ac:dyDescent="0.35">
      <c r="A88">
        <v>87</v>
      </c>
      <c r="C88" s="8">
        <v>44440</v>
      </c>
      <c r="D88" s="9">
        <v>24.219999000000001</v>
      </c>
      <c r="E88" s="9">
        <v>27.389999</v>
      </c>
      <c r="F88" s="9">
        <v>22.24</v>
      </c>
      <c r="G88" s="9">
        <v>25.01</v>
      </c>
      <c r="H88" s="12" t="str">
        <f t="shared" si="10"/>
        <v>Sep-21</v>
      </c>
      <c r="I88" s="4">
        <f t="shared" si="15"/>
        <v>-0.11395441823270697</v>
      </c>
      <c r="J88" s="3">
        <f t="shared" si="11"/>
        <v>25.01</v>
      </c>
      <c r="K88" s="11">
        <f t="shared" si="16"/>
        <v>25.343999799999999</v>
      </c>
      <c r="L88" s="11">
        <f t="shared" si="18"/>
        <v>24.829999899999997</v>
      </c>
      <c r="M88">
        <f t="shared" si="12"/>
        <v>5.1499990000000011</v>
      </c>
      <c r="N88">
        <f t="shared" si="17"/>
        <v>3.3289403075320796</v>
      </c>
      <c r="O88">
        <f t="shared" si="13"/>
        <v>23.24</v>
      </c>
      <c r="P88">
        <f t="shared" si="19"/>
        <v>24.006666666666664</v>
      </c>
      <c r="Q88">
        <f t="shared" si="14"/>
        <v>24.781114404998281</v>
      </c>
      <c r="R88">
        <v>-18971.012078471598</v>
      </c>
    </row>
    <row r="89" spans="1:18" ht="15.5" x14ac:dyDescent="0.35">
      <c r="A89">
        <v>88</v>
      </c>
      <c r="C89" s="8">
        <v>44470</v>
      </c>
      <c r="D89" s="9">
        <v>26.07</v>
      </c>
      <c r="E89" s="9">
        <v>26.57</v>
      </c>
      <c r="F89" s="9">
        <v>21.309999000000001</v>
      </c>
      <c r="G89" s="9">
        <v>22.16</v>
      </c>
      <c r="H89" s="12" t="str">
        <f t="shared" si="10"/>
        <v>Oct-21</v>
      </c>
      <c r="I89" s="4">
        <f t="shared" si="15"/>
        <v>-0.20487360108303257</v>
      </c>
      <c r="J89" s="3">
        <f t="shared" si="11"/>
        <v>22.16</v>
      </c>
      <c r="K89" s="11">
        <f t="shared" si="16"/>
        <v>23.864000000000001</v>
      </c>
      <c r="L89" s="11">
        <f t="shared" si="18"/>
        <v>24.879999899999998</v>
      </c>
      <c r="M89">
        <f t="shared" si="12"/>
        <v>5.260000999999999</v>
      </c>
      <c r="N89">
        <f t="shared" si="17"/>
        <v>3.2794239372183309</v>
      </c>
      <c r="O89">
        <f t="shared" si="13"/>
        <v>22.309999000000001</v>
      </c>
      <c r="P89">
        <f t="shared" si="19"/>
        <v>23.878333416666663</v>
      </c>
      <c r="Q89">
        <f t="shared" si="14"/>
        <v>26.598921234822548</v>
      </c>
      <c r="R89">
        <v>-18983.861324577072</v>
      </c>
    </row>
    <row r="90" spans="1:18" ht="15.5" x14ac:dyDescent="0.35">
      <c r="A90">
        <v>89</v>
      </c>
      <c r="C90" s="8">
        <v>44501</v>
      </c>
      <c r="D90" s="9">
        <v>22.299999</v>
      </c>
      <c r="E90" s="9">
        <v>25.290001</v>
      </c>
      <c r="F90" s="9">
        <v>17.110001</v>
      </c>
      <c r="G90" s="9">
        <v>17.620000999999998</v>
      </c>
      <c r="H90" s="12" t="str">
        <f t="shared" si="10"/>
        <v>Nov-21</v>
      </c>
      <c r="I90" s="4">
        <f t="shared" si="15"/>
        <v>0.14188421442200827</v>
      </c>
      <c r="J90" s="3">
        <f t="shared" si="11"/>
        <v>17.620000999999998</v>
      </c>
      <c r="K90" s="11">
        <f t="shared" si="16"/>
        <v>22.116</v>
      </c>
      <c r="L90" s="11">
        <f t="shared" si="18"/>
        <v>24.774999999999999</v>
      </c>
      <c r="M90">
        <f t="shared" si="12"/>
        <v>8.18</v>
      </c>
      <c r="N90">
        <f t="shared" si="17"/>
        <v>3.5091123872950232</v>
      </c>
      <c r="O90">
        <f t="shared" si="13"/>
        <v>18.110001</v>
      </c>
      <c r="P90">
        <f t="shared" si="19"/>
        <v>23.973333333333333</v>
      </c>
      <c r="Q90">
        <f t="shared" si="14"/>
        <v>22.894526714903733</v>
      </c>
      <c r="R90">
        <v>-18997.13887888606</v>
      </c>
    </row>
    <row r="91" spans="1:18" ht="15.5" x14ac:dyDescent="0.35">
      <c r="A91">
        <v>90</v>
      </c>
      <c r="C91" s="8">
        <v>44531</v>
      </c>
      <c r="D91" s="9">
        <v>18.120000999999998</v>
      </c>
      <c r="E91" s="9">
        <v>21.799999</v>
      </c>
      <c r="F91" s="9">
        <v>16.32</v>
      </c>
      <c r="G91" s="9">
        <v>20.120000999999998</v>
      </c>
      <c r="H91" s="12" t="str">
        <f t="shared" si="10"/>
        <v>Dec-21</v>
      </c>
      <c r="I91" s="4">
        <f t="shared" si="15"/>
        <v>-1.5407653309758644E-2</v>
      </c>
      <c r="J91" s="3">
        <f t="shared" si="11"/>
        <v>20.120000999999998</v>
      </c>
      <c r="K91" s="11">
        <f t="shared" si="16"/>
        <v>21.810000200000001</v>
      </c>
      <c r="L91" s="11">
        <f t="shared" si="18"/>
        <v>24.112000099999996</v>
      </c>
      <c r="M91">
        <f t="shared" si="12"/>
        <v>5.4799989999999994</v>
      </c>
      <c r="N91">
        <f t="shared" si="17"/>
        <v>3.714798181089126</v>
      </c>
      <c r="O91">
        <f t="shared" si="13"/>
        <v>17.32</v>
      </c>
      <c r="P91">
        <f t="shared" si="19"/>
        <v>23.438333333333329</v>
      </c>
      <c r="Q91">
        <f t="shared" si="14"/>
        <v>18.78727006312258</v>
      </c>
      <c r="R91">
        <v>-19009.988124991534</v>
      </c>
    </row>
    <row r="92" spans="1:18" ht="15.5" x14ac:dyDescent="0.35">
      <c r="A92">
        <v>91</v>
      </c>
      <c r="B92">
        <v>2022</v>
      </c>
      <c r="C92" s="8">
        <v>44562</v>
      </c>
      <c r="D92" s="9">
        <v>20.559999000000001</v>
      </c>
      <c r="E92" s="9">
        <v>23.299999</v>
      </c>
      <c r="F92" s="9">
        <v>18.149999999999999</v>
      </c>
      <c r="G92" s="9">
        <v>19.809999000000001</v>
      </c>
      <c r="H92" s="10" t="str">
        <f t="shared" si="10"/>
        <v>Jan-22</v>
      </c>
      <c r="I92" s="4">
        <f t="shared" si="15"/>
        <v>2.6249420810167481E-2</v>
      </c>
      <c r="J92" s="3">
        <f t="shared" si="11"/>
        <v>19.809999000000001</v>
      </c>
      <c r="K92" s="11">
        <f t="shared" si="16"/>
        <v>20.944000200000001</v>
      </c>
      <c r="L92" s="11">
        <f t="shared" si="18"/>
        <v>23.438999899999999</v>
      </c>
      <c r="M92">
        <f t="shared" si="12"/>
        <v>5.1499990000000011</v>
      </c>
      <c r="N92">
        <f t="shared" si="17"/>
        <v>3.833771889956834</v>
      </c>
      <c r="O92">
        <f t="shared" si="13"/>
        <v>19.149999999999999</v>
      </c>
      <c r="P92">
        <f t="shared" si="19"/>
        <v>22.911666499999995</v>
      </c>
      <c r="Q92">
        <f t="shared" si="14"/>
        <v>21.184806620755555</v>
      </c>
      <c r="R92">
        <v>-19023.265679300523</v>
      </c>
    </row>
    <row r="93" spans="1:18" ht="15.5" x14ac:dyDescent="0.35">
      <c r="A93">
        <v>92</v>
      </c>
      <c r="C93" s="8">
        <v>44593</v>
      </c>
      <c r="D93" s="9">
        <v>19.950001</v>
      </c>
      <c r="E93" s="9">
        <v>23.860001</v>
      </c>
      <c r="F93" s="9">
        <v>18.649999999999999</v>
      </c>
      <c r="G93" s="9">
        <v>20.329999999999998</v>
      </c>
      <c r="H93" s="10" t="str">
        <f t="shared" si="10"/>
        <v>Feb-22</v>
      </c>
      <c r="I93" s="4">
        <f t="shared" si="15"/>
        <v>-5.4107722577470202E-3</v>
      </c>
      <c r="J93" s="3">
        <f t="shared" si="11"/>
        <v>20.329999999999998</v>
      </c>
      <c r="K93" s="11">
        <f t="shared" si="16"/>
        <v>20.008000200000001</v>
      </c>
      <c r="L93" s="11">
        <f t="shared" si="18"/>
        <v>22.675999999999998</v>
      </c>
      <c r="M93">
        <f t="shared" si="12"/>
        <v>5.2100010000000019</v>
      </c>
      <c r="N93">
        <f t="shared" si="17"/>
        <v>3.5852323832944286</v>
      </c>
      <c r="O93">
        <f t="shared" si="13"/>
        <v>19.649999999999999</v>
      </c>
      <c r="P93">
        <f t="shared" si="19"/>
        <v>22.023333166666664</v>
      </c>
      <c r="Q93">
        <f t="shared" si="14"/>
        <v>20.585423955243947</v>
      </c>
      <c r="R93">
        <v>-19036.543233609515</v>
      </c>
    </row>
    <row r="94" spans="1:18" ht="15.5" x14ac:dyDescent="0.35">
      <c r="A94">
        <v>93</v>
      </c>
      <c r="C94" s="8">
        <v>44621</v>
      </c>
      <c r="D94" s="9">
        <v>19.969999000000001</v>
      </c>
      <c r="E94" s="9">
        <v>20.540001</v>
      </c>
      <c r="F94" s="9">
        <v>14.94</v>
      </c>
      <c r="G94" s="9">
        <v>20.219999000000001</v>
      </c>
      <c r="H94" s="10" t="str">
        <f t="shared" si="10"/>
        <v>Mar-22</v>
      </c>
      <c r="I94" s="4">
        <f t="shared" si="15"/>
        <v>-0.14441148093034037</v>
      </c>
      <c r="J94" s="3">
        <f t="shared" si="11"/>
        <v>20.219999000000001</v>
      </c>
      <c r="K94" s="11">
        <f t="shared" si="16"/>
        <v>19.619999999999997</v>
      </c>
      <c r="L94" s="11">
        <f t="shared" si="18"/>
        <v>21.741999999999997</v>
      </c>
      <c r="M94">
        <f t="shared" si="12"/>
        <v>5.6000010000000007</v>
      </c>
      <c r="N94">
        <f t="shared" si="17"/>
        <v>2.6998757144235257</v>
      </c>
      <c r="O94">
        <f t="shared" si="13"/>
        <v>15.94</v>
      </c>
      <c r="P94">
        <f t="shared" si="19"/>
        <v>20.716666583333332</v>
      </c>
      <c r="Q94">
        <f t="shared" si="14"/>
        <v>20.605073945153588</v>
      </c>
      <c r="R94">
        <v>-19048.535863307956</v>
      </c>
    </row>
    <row r="95" spans="1:18" ht="15.5" x14ac:dyDescent="0.35">
      <c r="A95">
        <v>94</v>
      </c>
      <c r="C95" s="8">
        <v>44652</v>
      </c>
      <c r="D95" s="9">
        <v>20.350000000000001</v>
      </c>
      <c r="E95" s="9">
        <v>21.5</v>
      </c>
      <c r="F95" s="9">
        <v>17.120000999999998</v>
      </c>
      <c r="G95" s="9">
        <v>17.299999</v>
      </c>
      <c r="H95" s="10" t="str">
        <f t="shared" si="10"/>
        <v>Apr-22</v>
      </c>
      <c r="I95" s="4">
        <f t="shared" si="15"/>
        <v>-0.19768781489524936</v>
      </c>
      <c r="J95" s="3">
        <f t="shared" si="11"/>
        <v>17.299999</v>
      </c>
      <c r="K95" s="11">
        <f t="shared" si="16"/>
        <v>19.5559996</v>
      </c>
      <c r="L95" s="11">
        <f t="shared" si="18"/>
        <v>20.835999799999996</v>
      </c>
      <c r="M95">
        <f t="shared" si="12"/>
        <v>4.3799990000000015</v>
      </c>
      <c r="N95">
        <f t="shared" si="17"/>
        <v>2.4900030317698305</v>
      </c>
      <c r="O95">
        <f t="shared" si="13"/>
        <v>18.120000999999998</v>
      </c>
      <c r="P95">
        <f t="shared" si="19"/>
        <v>19.240833166666665</v>
      </c>
      <c r="Q95">
        <f t="shared" si="14"/>
        <v>20.978462074749221</v>
      </c>
      <c r="R95">
        <v>-19061.813417616944</v>
      </c>
    </row>
    <row r="96" spans="1:18" ht="15.5" x14ac:dyDescent="0.35">
      <c r="A96">
        <v>95</v>
      </c>
      <c r="C96" s="8">
        <v>44682</v>
      </c>
      <c r="D96" s="9">
        <v>17.309999000000001</v>
      </c>
      <c r="E96" s="9">
        <v>17.829999999999998</v>
      </c>
      <c r="F96" s="9">
        <v>11.56</v>
      </c>
      <c r="G96" s="9">
        <v>13.88</v>
      </c>
      <c r="H96" s="10" t="str">
        <f t="shared" si="10"/>
        <v>May-22</v>
      </c>
      <c r="I96" s="4">
        <f t="shared" si="15"/>
        <v>-0.37680115273775217</v>
      </c>
      <c r="J96" s="3">
        <f t="shared" si="11"/>
        <v>13.88</v>
      </c>
      <c r="K96" s="11">
        <f t="shared" si="16"/>
        <v>18.3079994</v>
      </c>
      <c r="L96" s="11">
        <f t="shared" si="18"/>
        <v>20.058999799999999</v>
      </c>
      <c r="M96">
        <f t="shared" si="12"/>
        <v>6.2699999999999978</v>
      </c>
      <c r="N96">
        <f t="shared" si="17"/>
        <v>3.2911849061125369</v>
      </c>
      <c r="O96">
        <f t="shared" si="13"/>
        <v>12.56</v>
      </c>
      <c r="P96">
        <f t="shared" si="19"/>
        <v>18.1916665</v>
      </c>
      <c r="Q96">
        <f t="shared" si="14"/>
        <v>17.991363916168439</v>
      </c>
      <c r="R96">
        <v>-19074.662663722418</v>
      </c>
    </row>
    <row r="97" spans="1:18" ht="15.5" x14ac:dyDescent="0.35">
      <c r="A97">
        <v>96</v>
      </c>
      <c r="C97" s="8">
        <v>44713</v>
      </c>
      <c r="D97" s="9">
        <v>14.04</v>
      </c>
      <c r="E97" s="9">
        <v>14.2</v>
      </c>
      <c r="F97" s="9">
        <v>8.1</v>
      </c>
      <c r="G97" s="9">
        <v>8.65</v>
      </c>
      <c r="H97" s="10" t="str">
        <f t="shared" si="10"/>
        <v>Jun-22</v>
      </c>
      <c r="I97" s="4">
        <f t="shared" si="15"/>
        <v>4.7398843930635856E-2</v>
      </c>
      <c r="J97" s="3">
        <f t="shared" si="11"/>
        <v>8.65</v>
      </c>
      <c r="K97" s="11">
        <f t="shared" si="16"/>
        <v>16.075999599999999</v>
      </c>
      <c r="L97" s="11">
        <f t="shared" si="18"/>
        <v>18.5099999</v>
      </c>
      <c r="M97">
        <f t="shared" si="12"/>
        <v>6.1</v>
      </c>
      <c r="N97">
        <f t="shared" si="17"/>
        <v>4.5583110644185547</v>
      </c>
      <c r="O97">
        <f t="shared" si="13"/>
        <v>9.1</v>
      </c>
      <c r="P97">
        <f t="shared" si="19"/>
        <v>16.968333250000001</v>
      </c>
      <c r="Q97">
        <f t="shared" si="14"/>
        <v>14.778270239073921</v>
      </c>
      <c r="R97">
        <v>-19087.940218031406</v>
      </c>
    </row>
    <row r="98" spans="1:18" ht="15.5" x14ac:dyDescent="0.35">
      <c r="A98">
        <v>97</v>
      </c>
      <c r="C98" s="8">
        <v>44743</v>
      </c>
      <c r="D98" s="9">
        <v>8.61</v>
      </c>
      <c r="E98" s="9">
        <v>11.1</v>
      </c>
      <c r="F98" s="9">
        <v>8.15</v>
      </c>
      <c r="G98" s="9">
        <v>9.06</v>
      </c>
      <c r="H98" s="10" t="str">
        <f t="shared" si="10"/>
        <v>Jul-22</v>
      </c>
      <c r="I98" s="4">
        <f t="shared" si="15"/>
        <v>4.4150110375275976E-2</v>
      </c>
      <c r="J98" s="3">
        <f t="shared" si="11"/>
        <v>9.06</v>
      </c>
      <c r="K98" s="11">
        <f t="shared" si="16"/>
        <v>13.821999600000002</v>
      </c>
      <c r="L98" s="11">
        <f t="shared" si="18"/>
        <v>16.914999900000002</v>
      </c>
      <c r="M98">
        <f t="shared" si="12"/>
        <v>2.9499999999999993</v>
      </c>
      <c r="N98">
        <f t="shared" si="17"/>
        <v>4.8145156056105165</v>
      </c>
      <c r="O98">
        <f t="shared" si="13"/>
        <v>9.15</v>
      </c>
      <c r="P98">
        <f t="shared" si="19"/>
        <v>15.469999916666668</v>
      </c>
      <c r="Q98">
        <f t="shared" si="14"/>
        <v>9.4427644280252903</v>
      </c>
      <c r="R98">
        <v>-19100.78946413688</v>
      </c>
    </row>
    <row r="99" spans="1:18" ht="15.5" x14ac:dyDescent="0.35">
      <c r="A99">
        <v>98</v>
      </c>
      <c r="C99" s="8">
        <v>44774</v>
      </c>
      <c r="D99" s="9">
        <v>8.9</v>
      </c>
      <c r="E99" s="9">
        <v>11.38</v>
      </c>
      <c r="F99" s="9">
        <v>8.57</v>
      </c>
      <c r="G99" s="9">
        <v>9.4600000000000009</v>
      </c>
      <c r="H99" s="10" t="str">
        <f t="shared" si="10"/>
        <v>Aug-22</v>
      </c>
      <c r="I99" s="4">
        <f t="shared" si="15"/>
        <v>-0.2568710359408034</v>
      </c>
      <c r="J99" s="3">
        <f t="shared" si="11"/>
        <v>9.4600000000000009</v>
      </c>
      <c r="K99" s="11">
        <f t="shared" si="16"/>
        <v>11.669999800000001</v>
      </c>
      <c r="L99" s="11">
        <f t="shared" si="18"/>
        <v>15.644999900000002</v>
      </c>
      <c r="M99">
        <f t="shared" si="12"/>
        <v>2.8100000000000005</v>
      </c>
      <c r="N99">
        <f t="shared" si="17"/>
        <v>4.950353995310774</v>
      </c>
      <c r="O99">
        <f t="shared" si="13"/>
        <v>9.57</v>
      </c>
      <c r="P99">
        <f t="shared" si="19"/>
        <v>14.378333250000003</v>
      </c>
      <c r="Q99">
        <f t="shared" si="14"/>
        <v>9.727717777049989</v>
      </c>
      <c r="R99">
        <v>-19114.067018445869</v>
      </c>
    </row>
    <row r="100" spans="1:18" ht="15.5" x14ac:dyDescent="0.35">
      <c r="A100">
        <v>99</v>
      </c>
      <c r="C100" s="8">
        <v>44805</v>
      </c>
      <c r="D100" s="9">
        <v>9.2899999999999991</v>
      </c>
      <c r="E100" s="9">
        <v>11.19</v>
      </c>
      <c r="F100" s="9">
        <v>7.01</v>
      </c>
      <c r="G100" s="9">
        <v>7.03</v>
      </c>
      <c r="H100" s="10" t="str">
        <f t="shared" si="10"/>
        <v>Sep-22</v>
      </c>
      <c r="I100" s="4">
        <f t="shared" si="15"/>
        <v>0.28876244665718354</v>
      </c>
      <c r="J100" s="3">
        <f t="shared" si="11"/>
        <v>7.03</v>
      </c>
      <c r="K100" s="11">
        <f t="shared" si="16"/>
        <v>9.6160000000000014</v>
      </c>
      <c r="L100" s="11">
        <f t="shared" si="18"/>
        <v>14.5859998</v>
      </c>
      <c r="M100">
        <f t="shared" si="12"/>
        <v>4.18</v>
      </c>
      <c r="N100">
        <f t="shared" si="17"/>
        <v>5.5743143467156937</v>
      </c>
      <c r="O100">
        <f t="shared" si="13"/>
        <v>8.01</v>
      </c>
      <c r="P100">
        <f t="shared" si="19"/>
        <v>13.737499833333333</v>
      </c>
      <c r="Q100">
        <f t="shared" si="14"/>
        <v>10.110930901600442</v>
      </c>
      <c r="R100">
        <v>-19127.344572754861</v>
      </c>
    </row>
    <row r="101" spans="1:18" ht="15.5" x14ac:dyDescent="0.35">
      <c r="A101">
        <v>100</v>
      </c>
      <c r="C101" s="8">
        <v>44835</v>
      </c>
      <c r="D101" s="9">
        <v>7.17</v>
      </c>
      <c r="E101" s="9">
        <v>9.15</v>
      </c>
      <c r="F101" s="9">
        <v>6.11</v>
      </c>
      <c r="G101" s="9">
        <v>9.06</v>
      </c>
      <c r="H101" s="10" t="str">
        <f t="shared" si="10"/>
        <v>Oct-22</v>
      </c>
      <c r="I101" s="4">
        <f t="shared" si="15"/>
        <v>9.6026490066225073E-2</v>
      </c>
      <c r="J101" s="3">
        <f t="shared" si="11"/>
        <v>9.06</v>
      </c>
      <c r="K101" s="11">
        <f t="shared" si="16"/>
        <v>8.652000000000001</v>
      </c>
      <c r="L101" s="11">
        <f t="shared" si="18"/>
        <v>13.479999700000002</v>
      </c>
      <c r="M101">
        <f t="shared" si="12"/>
        <v>3.04</v>
      </c>
      <c r="N101">
        <f t="shared" si="17"/>
        <v>5.4501372686077207</v>
      </c>
      <c r="O101">
        <f t="shared" si="13"/>
        <v>7.11</v>
      </c>
      <c r="P101">
        <f t="shared" si="19"/>
        <v>12.732499750000002</v>
      </c>
      <c r="Q101">
        <f t="shared" si="14"/>
        <v>8.0278236604543842</v>
      </c>
      <c r="R101">
        <v>-19140.193818860334</v>
      </c>
    </row>
    <row r="102" spans="1:18" ht="15.5" x14ac:dyDescent="0.35">
      <c r="A102">
        <v>101</v>
      </c>
      <c r="C102" s="8">
        <v>44866</v>
      </c>
      <c r="D102" s="9">
        <v>9.39</v>
      </c>
      <c r="E102" s="9">
        <v>11.49</v>
      </c>
      <c r="F102" s="9">
        <v>8.25</v>
      </c>
      <c r="G102" s="9">
        <v>9.93</v>
      </c>
      <c r="H102" s="10" t="str">
        <f t="shared" si="10"/>
        <v>Nov-22</v>
      </c>
      <c r="I102" s="4">
        <f t="shared" si="15"/>
        <v>-0.188318227593152</v>
      </c>
      <c r="J102" s="3">
        <f t="shared" si="11"/>
        <v>9.93</v>
      </c>
      <c r="K102" s="11">
        <f t="shared" si="16"/>
        <v>8.9080000000000013</v>
      </c>
      <c r="L102" s="11">
        <f t="shared" si="18"/>
        <v>12.491999800000002</v>
      </c>
      <c r="M102">
        <f t="shared" si="12"/>
        <v>3.24</v>
      </c>
      <c r="N102">
        <f t="shared" si="17"/>
        <v>5.0564385240558085</v>
      </c>
      <c r="O102">
        <f t="shared" si="13"/>
        <v>9.25</v>
      </c>
      <c r="P102">
        <f t="shared" si="19"/>
        <v>11.983333166666668</v>
      </c>
      <c r="Q102">
        <f t="shared" si="14"/>
        <v>10.2091906771262</v>
      </c>
      <c r="R102">
        <v>-19153.471373169323</v>
      </c>
    </row>
    <row r="103" spans="1:18" ht="15.5" x14ac:dyDescent="0.35">
      <c r="A103">
        <v>102</v>
      </c>
      <c r="C103" s="8">
        <v>44896</v>
      </c>
      <c r="D103" s="9">
        <v>9.9600000000000009</v>
      </c>
      <c r="E103" s="9">
        <v>10.29</v>
      </c>
      <c r="F103" s="9">
        <v>7.53</v>
      </c>
      <c r="G103" s="9">
        <v>8.06</v>
      </c>
      <c r="H103" s="10" t="str">
        <f t="shared" si="10"/>
        <v>Dec-22</v>
      </c>
      <c r="I103" s="4">
        <f t="shared" si="15"/>
        <v>0.34243176178660045</v>
      </c>
      <c r="J103" s="3">
        <f t="shared" si="11"/>
        <v>8.06</v>
      </c>
      <c r="K103" s="11">
        <f t="shared" si="16"/>
        <v>8.708000000000002</v>
      </c>
      <c r="L103" s="11">
        <f t="shared" si="18"/>
        <v>11.264999800000002</v>
      </c>
      <c r="M103">
        <f t="shared" si="12"/>
        <v>2.7599999999999989</v>
      </c>
      <c r="N103">
        <f t="shared" si="17"/>
        <v>4.3876242625011832</v>
      </c>
      <c r="O103">
        <f t="shared" si="13"/>
        <v>8.5300000000000011</v>
      </c>
      <c r="P103">
        <f t="shared" si="19"/>
        <v>11.1741665</v>
      </c>
      <c r="Q103">
        <f t="shared" si="14"/>
        <v>10.769271397623019</v>
      </c>
      <c r="R103">
        <v>-19166.320619274797</v>
      </c>
    </row>
    <row r="104" spans="1:18" ht="15.5" x14ac:dyDescent="0.35">
      <c r="A104">
        <v>103</v>
      </c>
      <c r="B104">
        <v>2023</v>
      </c>
      <c r="C104" s="8">
        <v>44927</v>
      </c>
      <c r="D104" s="9">
        <v>8.24</v>
      </c>
      <c r="E104" s="9">
        <v>11.25</v>
      </c>
      <c r="F104" s="9">
        <v>7.92</v>
      </c>
      <c r="G104" s="9">
        <v>10.82</v>
      </c>
      <c r="H104" s="12" t="str">
        <f t="shared" si="10"/>
        <v>Jan-23</v>
      </c>
      <c r="I104" s="4">
        <f t="shared" si="15"/>
        <v>-1.8484288354898435E-2</v>
      </c>
      <c r="J104" s="3">
        <f t="shared" si="11"/>
        <v>10.82</v>
      </c>
      <c r="K104" s="11">
        <f t="shared" si="16"/>
        <v>8.98</v>
      </c>
      <c r="L104" s="11">
        <f t="shared" si="18"/>
        <v>10.3249999</v>
      </c>
      <c r="M104">
        <f t="shared" si="12"/>
        <v>3.33</v>
      </c>
      <c r="N104">
        <f t="shared" si="17"/>
        <v>3.0628823761287518</v>
      </c>
      <c r="O104">
        <f t="shared" si="13"/>
        <v>8.92</v>
      </c>
      <c r="P104">
        <f t="shared" si="19"/>
        <v>10.334999916666668</v>
      </c>
      <c r="Q104">
        <f t="shared" si="14"/>
        <v>9.0792032585799891</v>
      </c>
      <c r="R104">
        <v>-19179.598173583785</v>
      </c>
    </row>
    <row r="105" spans="1:18" ht="15.5" x14ac:dyDescent="0.35">
      <c r="A105">
        <v>104</v>
      </c>
      <c r="C105" s="8">
        <v>44958</v>
      </c>
      <c r="D105" s="9">
        <v>10.82</v>
      </c>
      <c r="E105" s="9">
        <v>12.62</v>
      </c>
      <c r="F105" s="9">
        <v>10.25</v>
      </c>
      <c r="G105" s="9">
        <v>10.62</v>
      </c>
      <c r="H105" s="12" t="str">
        <f t="shared" si="10"/>
        <v>Feb-23</v>
      </c>
      <c r="I105" s="4">
        <f t="shared" si="15"/>
        <v>-4.4256120527306861E-2</v>
      </c>
      <c r="J105" s="3">
        <f t="shared" si="11"/>
        <v>10.62</v>
      </c>
      <c r="K105" s="11">
        <f t="shared" si="16"/>
        <v>9.6980000000000004</v>
      </c>
      <c r="L105" s="11">
        <f t="shared" si="18"/>
        <v>9.6570000000000018</v>
      </c>
      <c r="M105">
        <f t="shared" si="12"/>
        <v>2.3699999999999992</v>
      </c>
      <c r="N105">
        <f t="shared" si="17"/>
        <v>1.8680176658693488</v>
      </c>
      <c r="O105">
        <f t="shared" si="13"/>
        <v>11.25</v>
      </c>
      <c r="P105">
        <f t="shared" si="19"/>
        <v>9.6608333333333363</v>
      </c>
      <c r="Q105">
        <f t="shared" si="14"/>
        <v>11.614305467144533</v>
      </c>
      <c r="R105">
        <v>-19192.875727892773</v>
      </c>
    </row>
    <row r="106" spans="1:18" ht="15.5" x14ac:dyDescent="0.35">
      <c r="A106">
        <v>105</v>
      </c>
      <c r="C106" s="8">
        <v>44986</v>
      </c>
      <c r="D106" s="9">
        <v>10.62</v>
      </c>
      <c r="E106" s="9">
        <v>11.53</v>
      </c>
      <c r="F106" s="9">
        <v>8.3699999999999992</v>
      </c>
      <c r="G106" s="9">
        <v>10.15</v>
      </c>
      <c r="H106" s="12" t="str">
        <f t="shared" si="10"/>
        <v>Mar-23</v>
      </c>
      <c r="I106" s="4">
        <f t="shared" si="15"/>
        <v>-9.2610837438423591E-2</v>
      </c>
      <c r="J106" s="3">
        <f t="shared" si="11"/>
        <v>10.15</v>
      </c>
      <c r="K106" s="11">
        <f t="shared" si="16"/>
        <v>9.9160000000000004</v>
      </c>
      <c r="L106" s="11">
        <f t="shared" si="18"/>
        <v>9.2840000000000025</v>
      </c>
      <c r="M106">
        <f t="shared" si="12"/>
        <v>3.16</v>
      </c>
      <c r="N106">
        <f t="shared" si="17"/>
        <v>1.1748966857652687</v>
      </c>
      <c r="O106">
        <f t="shared" si="13"/>
        <v>9.3699999999999992</v>
      </c>
      <c r="P106">
        <f t="shared" si="19"/>
        <v>9.4400000000000013</v>
      </c>
      <c r="Q106">
        <f t="shared" si="14"/>
        <v>11.417785916093015</v>
      </c>
      <c r="R106">
        <v>-19204.868357591215</v>
      </c>
    </row>
    <row r="107" spans="1:18" ht="15.5" x14ac:dyDescent="0.35">
      <c r="A107">
        <v>106</v>
      </c>
      <c r="C107" s="8">
        <v>45017</v>
      </c>
      <c r="D107" s="9">
        <v>9.98</v>
      </c>
      <c r="E107" s="9">
        <v>10.23</v>
      </c>
      <c r="F107" s="9">
        <v>8.6999999999999993</v>
      </c>
      <c r="G107" s="9">
        <v>9.2100000000000009</v>
      </c>
      <c r="H107" s="12" t="str">
        <f t="shared" si="10"/>
        <v>Apr-23</v>
      </c>
      <c r="I107" s="4">
        <f t="shared" si="15"/>
        <v>0.21932681867535281</v>
      </c>
      <c r="J107" s="3">
        <f t="shared" si="11"/>
        <v>9.2100000000000009</v>
      </c>
      <c r="K107" s="11">
        <f t="shared" si="16"/>
        <v>9.7720000000000002</v>
      </c>
      <c r="L107" s="11">
        <f t="shared" si="18"/>
        <v>9.34</v>
      </c>
      <c r="M107">
        <f t="shared" si="12"/>
        <v>1.5300000000000011</v>
      </c>
      <c r="N107">
        <f t="shared" si="17"/>
        <v>1.1544888238716047</v>
      </c>
      <c r="O107">
        <f t="shared" si="13"/>
        <v>9.6999999999999993</v>
      </c>
      <c r="P107">
        <f t="shared" si="19"/>
        <v>10.288333333333334</v>
      </c>
      <c r="Q107">
        <f t="shared" si="14"/>
        <v>10.788923352728169</v>
      </c>
      <c r="R107">
        <v>-19218.145911900207</v>
      </c>
    </row>
    <row r="108" spans="1:18" ht="15.5" x14ac:dyDescent="0.35">
      <c r="A108">
        <v>107</v>
      </c>
      <c r="C108" s="8">
        <v>45047</v>
      </c>
      <c r="D108" s="9">
        <v>9.27</v>
      </c>
      <c r="E108" s="9">
        <v>11.84</v>
      </c>
      <c r="F108" s="9">
        <v>9.17</v>
      </c>
      <c r="G108" s="9">
        <v>11.23</v>
      </c>
      <c r="H108" s="12" t="str">
        <f t="shared" si="10"/>
        <v>May-23</v>
      </c>
      <c r="I108" s="4">
        <f t="shared" si="15"/>
        <v>0.67675868210151358</v>
      </c>
      <c r="J108" s="3">
        <f t="shared" si="11"/>
        <v>11.23</v>
      </c>
      <c r="K108" s="11">
        <f t="shared" si="16"/>
        <v>10.406000000000001</v>
      </c>
      <c r="L108" s="11">
        <f t="shared" si="18"/>
        <v>9.5570000000000004</v>
      </c>
      <c r="M108">
        <f t="shared" si="12"/>
        <v>2.67</v>
      </c>
      <c r="N108">
        <f t="shared" si="17"/>
        <v>1.2917864460591868</v>
      </c>
      <c r="O108">
        <f t="shared" si="13"/>
        <v>10.17</v>
      </c>
      <c r="P108">
        <f t="shared" si="19"/>
        <v>11.103333333333333</v>
      </c>
      <c r="Q108">
        <f t="shared" si="14"/>
        <v>10.09127894649529</v>
      </c>
      <c r="R108">
        <v>-19230.99515800568</v>
      </c>
    </row>
    <row r="109" spans="1:18" ht="15.5" x14ac:dyDescent="0.35">
      <c r="A109">
        <v>108</v>
      </c>
      <c r="C109" s="8">
        <v>45078</v>
      </c>
      <c r="D109" s="9">
        <v>11.32</v>
      </c>
      <c r="E109" s="9">
        <v>18.879999000000002</v>
      </c>
      <c r="F109" s="9">
        <v>11.2</v>
      </c>
      <c r="G109" s="9">
        <v>18.829999999999998</v>
      </c>
      <c r="H109" s="12" t="str">
        <f t="shared" si="10"/>
        <v>Jun-23</v>
      </c>
      <c r="I109" s="4">
        <f t="shared" si="15"/>
        <v>5.3106744556566995E-4</v>
      </c>
      <c r="J109" s="3">
        <f t="shared" si="11"/>
        <v>18.829999999999998</v>
      </c>
      <c r="K109" s="11">
        <f t="shared" si="16"/>
        <v>12.007999999999999</v>
      </c>
      <c r="L109" s="11">
        <f t="shared" si="18"/>
        <v>10.494</v>
      </c>
      <c r="M109">
        <f t="shared" si="12"/>
        <v>7.6799990000000022</v>
      </c>
      <c r="N109">
        <f t="shared" si="17"/>
        <v>3.2010040091612928</v>
      </c>
      <c r="O109">
        <f t="shared" si="13"/>
        <v>12.2</v>
      </c>
      <c r="P109">
        <f t="shared" si="19"/>
        <v>11.633333333333333</v>
      </c>
      <c r="Q109">
        <f t="shared" si="14"/>
        <v>12.105604344773319</v>
      </c>
      <c r="R109">
        <v>-19244.272712314669</v>
      </c>
    </row>
    <row r="110" spans="1:18" ht="15.5" x14ac:dyDescent="0.35">
      <c r="A110">
        <v>109</v>
      </c>
      <c r="C110" s="8">
        <v>45108</v>
      </c>
      <c r="D110" s="9">
        <v>18.549999</v>
      </c>
      <c r="E110" s="9">
        <v>19.549999</v>
      </c>
      <c r="F110" s="9">
        <v>17.100000000000001</v>
      </c>
      <c r="G110" s="9">
        <v>18.84</v>
      </c>
      <c r="H110" s="12" t="str">
        <f t="shared" si="10"/>
        <v>Jul-23</v>
      </c>
      <c r="I110" s="4">
        <f t="shared" si="15"/>
        <v>-0.1602972399150743</v>
      </c>
      <c r="J110" s="3">
        <f t="shared" si="11"/>
        <v>18.84</v>
      </c>
      <c r="K110" s="11">
        <f t="shared" si="16"/>
        <v>13.652000000000001</v>
      </c>
      <c r="L110" s="11">
        <f t="shared" si="18"/>
        <v>11.675000000000001</v>
      </c>
      <c r="M110">
        <f t="shared" si="12"/>
        <v>2.4499989999999983</v>
      </c>
      <c r="N110">
        <f t="shared" si="17"/>
        <v>3.8862528367453266</v>
      </c>
      <c r="O110">
        <f t="shared" si="13"/>
        <v>18.100000000000001</v>
      </c>
      <c r="P110">
        <f t="shared" si="19"/>
        <v>12.190833333333332</v>
      </c>
      <c r="Q110">
        <f t="shared" si="14"/>
        <v>19.209785132687831</v>
      </c>
      <c r="R110">
        <v>-19257.121958420143</v>
      </c>
    </row>
    <row r="111" spans="1:18" ht="15.5" x14ac:dyDescent="0.35">
      <c r="A111">
        <v>110</v>
      </c>
      <c r="C111" s="8">
        <v>45139</v>
      </c>
      <c r="D111" s="9">
        <v>18.16</v>
      </c>
      <c r="E111" s="9">
        <v>18.41</v>
      </c>
      <c r="F111" s="9">
        <v>15.39</v>
      </c>
      <c r="G111" s="9">
        <v>15.82</v>
      </c>
      <c r="H111" s="12" t="str">
        <f t="shared" si="10"/>
        <v>Aug-23</v>
      </c>
      <c r="I111" s="4">
        <f t="shared" si="15"/>
        <v>-0.13274336283185839</v>
      </c>
      <c r="J111" s="3">
        <f t="shared" si="11"/>
        <v>15.82</v>
      </c>
      <c r="K111" s="11">
        <f t="shared" si="16"/>
        <v>14.786000000000001</v>
      </c>
      <c r="L111" s="11">
        <f t="shared" si="18"/>
        <v>12.350999999999999</v>
      </c>
      <c r="M111">
        <f t="shared" si="12"/>
        <v>3.0199999999999996</v>
      </c>
      <c r="N111">
        <f t="shared" si="17"/>
        <v>3.9679226302940958</v>
      </c>
      <c r="O111">
        <f t="shared" si="13"/>
        <v>16.39</v>
      </c>
      <c r="P111">
        <f t="shared" si="19"/>
        <v>12.390833333333333</v>
      </c>
      <c r="Q111">
        <f t="shared" si="14"/>
        <v>18.82657299073513</v>
      </c>
      <c r="R111">
        <v>-19270.399512729131</v>
      </c>
    </row>
    <row r="112" spans="1:18" ht="15.5" x14ac:dyDescent="0.35">
      <c r="A112">
        <v>111</v>
      </c>
      <c r="C112" s="8">
        <v>45170</v>
      </c>
      <c r="D112" s="9">
        <v>15.83</v>
      </c>
      <c r="E112" s="9">
        <v>16.059999000000001</v>
      </c>
      <c r="F112" s="9">
        <v>13.24</v>
      </c>
      <c r="G112" s="9">
        <v>13.72</v>
      </c>
      <c r="H112" s="12" t="str">
        <f t="shared" si="10"/>
        <v>Sep-23</v>
      </c>
      <c r="I112" s="4">
        <f t="shared" si="15"/>
        <v>-0.16472303206997083</v>
      </c>
      <c r="J112" s="3">
        <f t="shared" si="11"/>
        <v>13.72</v>
      </c>
      <c r="K112" s="11">
        <f t="shared" si="16"/>
        <v>15.687999999999999</v>
      </c>
      <c r="L112" s="11">
        <f t="shared" si="18"/>
        <v>12.73</v>
      </c>
      <c r="M112">
        <f t="shared" si="12"/>
        <v>2.819999000000001</v>
      </c>
      <c r="N112">
        <f t="shared" si="17"/>
        <v>3.891246586892172</v>
      </c>
      <c r="O112">
        <f t="shared" si="13"/>
        <v>14.24</v>
      </c>
      <c r="P112">
        <f t="shared" si="19"/>
        <v>12.818333333333335</v>
      </c>
      <c r="Q112">
        <f t="shared" si="14"/>
        <v>16.537120220984981</v>
      </c>
      <c r="R112">
        <v>-19283.677067038119</v>
      </c>
    </row>
    <row r="113" spans="1:18" ht="15.5" x14ac:dyDescent="0.35">
      <c r="A113">
        <v>112</v>
      </c>
      <c r="C113" s="8">
        <v>45200</v>
      </c>
      <c r="D113" s="9">
        <v>13.5</v>
      </c>
      <c r="E113" s="9">
        <v>14.17</v>
      </c>
      <c r="F113" s="9">
        <v>10.84</v>
      </c>
      <c r="G113" s="9">
        <v>11.46</v>
      </c>
      <c r="H113" s="12" t="str">
        <f t="shared" si="10"/>
        <v>Oct-23</v>
      </c>
      <c r="I113" s="4">
        <f t="shared" si="15"/>
        <v>0.3141361256544502</v>
      </c>
      <c r="J113" s="3">
        <f t="shared" si="11"/>
        <v>11.46</v>
      </c>
      <c r="K113" s="11">
        <f t="shared" si="16"/>
        <v>15.734000000000004</v>
      </c>
      <c r="L113" s="11">
        <f t="shared" si="18"/>
        <v>13.070000000000002</v>
      </c>
      <c r="M113">
        <f t="shared" si="12"/>
        <v>3.33</v>
      </c>
      <c r="N113">
        <f t="shared" si="17"/>
        <v>3.5734235063249216</v>
      </c>
      <c r="O113">
        <f t="shared" si="13"/>
        <v>11.84</v>
      </c>
      <c r="P113">
        <f t="shared" si="19"/>
        <v>13.691666750000001</v>
      </c>
      <c r="Q113">
        <f t="shared" si="14"/>
        <v>14.247667451234832</v>
      </c>
      <c r="R113">
        <v>-19296.526313143593</v>
      </c>
    </row>
    <row r="114" spans="1:18" ht="15.5" x14ac:dyDescent="0.35">
      <c r="A114">
        <v>113</v>
      </c>
      <c r="C114" s="8">
        <v>45231</v>
      </c>
      <c r="D114" s="9">
        <v>11.45</v>
      </c>
      <c r="E114" s="9">
        <v>15.3</v>
      </c>
      <c r="F114" s="9">
        <v>11.12</v>
      </c>
      <c r="G114" s="9">
        <v>15.06</v>
      </c>
      <c r="H114" s="12" t="str">
        <f t="shared" si="10"/>
        <v>Nov-23</v>
      </c>
      <c r="I114" s="4">
        <f t="shared" si="15"/>
        <v>0.23107576361221777</v>
      </c>
      <c r="J114" s="3">
        <f t="shared" si="11"/>
        <v>15.06</v>
      </c>
      <c r="K114" s="11">
        <f t="shared" si="16"/>
        <v>14.979999999999999</v>
      </c>
      <c r="L114" s="11">
        <f t="shared" si="18"/>
        <v>13.494</v>
      </c>
      <c r="M114">
        <f t="shared" si="12"/>
        <v>4.1800000000000015</v>
      </c>
      <c r="N114">
        <f t="shared" si="17"/>
        <v>3.5280469888531187</v>
      </c>
      <c r="O114">
        <f t="shared" si="13"/>
        <v>12.12</v>
      </c>
      <c r="P114">
        <f t="shared" si="19"/>
        <v>14.17166675</v>
      </c>
      <c r="Q114">
        <f t="shared" si="14"/>
        <v>12.233342052956804</v>
      </c>
      <c r="R114">
        <v>-19309.803867452581</v>
      </c>
    </row>
    <row r="115" spans="1:18" ht="15.5" x14ac:dyDescent="0.35">
      <c r="A115">
        <v>114</v>
      </c>
      <c r="C115" s="8">
        <v>45261</v>
      </c>
      <c r="D115" s="9">
        <v>15.12</v>
      </c>
      <c r="E115" s="9">
        <v>19.739999999999998</v>
      </c>
      <c r="F115" s="9">
        <v>15.03</v>
      </c>
      <c r="G115" s="9">
        <v>18.540001</v>
      </c>
      <c r="H115" s="12" t="str">
        <f t="shared" si="10"/>
        <v>Dec-23</v>
      </c>
      <c r="I115" s="4">
        <f t="shared" si="15"/>
        <v>-0.10571741608859686</v>
      </c>
      <c r="J115" s="3">
        <f t="shared" si="11"/>
        <v>18.540001</v>
      </c>
      <c r="K115" s="11">
        <f t="shared" si="16"/>
        <v>14.9200002</v>
      </c>
      <c r="L115" s="11">
        <f t="shared" si="18"/>
        <v>14.286000100000001</v>
      </c>
      <c r="M115">
        <f t="shared" si="12"/>
        <v>4.7099999999999991</v>
      </c>
      <c r="N115">
        <f t="shared" si="17"/>
        <v>3.6961488742864397</v>
      </c>
      <c r="O115">
        <f t="shared" si="13"/>
        <v>16.03</v>
      </c>
      <c r="P115">
        <f t="shared" si="19"/>
        <v>14.608333416666667</v>
      </c>
      <c r="Q115">
        <f t="shared" si="14"/>
        <v>15.839475814752102</v>
      </c>
      <c r="R115">
        <v>-19322.653113558055</v>
      </c>
    </row>
    <row r="116" spans="1:18" ht="15.5" x14ac:dyDescent="0.35">
      <c r="A116">
        <v>115</v>
      </c>
      <c r="B116">
        <v>2024</v>
      </c>
      <c r="C116" s="8">
        <v>45292</v>
      </c>
      <c r="D116" s="9">
        <v>18.309999000000001</v>
      </c>
      <c r="E116" s="9">
        <v>18.34</v>
      </c>
      <c r="F116" s="9">
        <v>15.69</v>
      </c>
      <c r="G116" s="9">
        <v>16.579999999999998</v>
      </c>
      <c r="H116" s="10" t="str">
        <f t="shared" si="10"/>
        <v>Jan-24</v>
      </c>
      <c r="I116" s="4">
        <f t="shared" si="15"/>
        <v>-4.3425814234016827E-2</v>
      </c>
      <c r="J116" s="3">
        <f t="shared" si="11"/>
        <v>16.579999999999998</v>
      </c>
      <c r="K116" s="11">
        <f t="shared" si="16"/>
        <v>15.0720002</v>
      </c>
      <c r="L116" s="11">
        <f t="shared" si="18"/>
        <v>14.929000100000001</v>
      </c>
      <c r="M116">
        <f t="shared" si="12"/>
        <v>2.6500000000000004</v>
      </c>
      <c r="N116">
        <f t="shared" si="17"/>
        <v>3.4476255471781658</v>
      </c>
      <c r="O116">
        <f t="shared" si="13"/>
        <v>16.689999999999998</v>
      </c>
      <c r="P116">
        <f t="shared" si="19"/>
        <v>15.124166750000002</v>
      </c>
      <c r="Q116">
        <f t="shared" si="14"/>
        <v>18.973961671426014</v>
      </c>
      <c r="R116">
        <v>-19335.930667867047</v>
      </c>
    </row>
    <row r="117" spans="1:18" ht="15.5" x14ac:dyDescent="0.35">
      <c r="A117">
        <v>116</v>
      </c>
      <c r="C117" s="8">
        <v>45323</v>
      </c>
      <c r="D117" s="9">
        <v>17.09</v>
      </c>
      <c r="E117" s="9">
        <v>17.239999999999998</v>
      </c>
      <c r="F117" s="9">
        <v>14.44</v>
      </c>
      <c r="G117" s="9">
        <v>15.86</v>
      </c>
      <c r="H117" s="10" t="str">
        <f t="shared" si="10"/>
        <v>Feb-24</v>
      </c>
      <c r="I117" s="4">
        <f t="shared" si="15"/>
        <v>3.0264817150063079E-2</v>
      </c>
      <c r="J117" s="3">
        <f t="shared" si="11"/>
        <v>15.86</v>
      </c>
      <c r="K117" s="11">
        <f t="shared" si="16"/>
        <v>15.500000199999999</v>
      </c>
      <c r="L117" s="11">
        <f t="shared" si="18"/>
        <v>15.594000099999999</v>
      </c>
      <c r="M117">
        <f t="shared" si="12"/>
        <v>2.7999999999999989</v>
      </c>
      <c r="N117">
        <f t="shared" si="17"/>
        <v>2.8030270520754503</v>
      </c>
      <c r="O117">
        <f t="shared" si="13"/>
        <v>15.44</v>
      </c>
      <c r="P117">
        <f t="shared" si="19"/>
        <v>15.59166675</v>
      </c>
      <c r="Q117">
        <f t="shared" si="14"/>
        <v>17.775193392609527</v>
      </c>
      <c r="R117">
        <v>-19349.208222176036</v>
      </c>
    </row>
    <row r="118" spans="1:18" ht="15.5" x14ac:dyDescent="0.35">
      <c r="A118">
        <v>117</v>
      </c>
      <c r="C118" s="8">
        <v>45352</v>
      </c>
      <c r="D118" s="9">
        <v>15.9</v>
      </c>
      <c r="E118" s="9">
        <v>17.68</v>
      </c>
      <c r="F118" s="9">
        <v>15.61</v>
      </c>
      <c r="G118" s="9">
        <v>16.34</v>
      </c>
      <c r="H118" s="10" t="str">
        <f t="shared" si="10"/>
        <v>Mar-24</v>
      </c>
      <c r="I118" s="4">
        <f t="shared" si="15"/>
        <v>-9.3023255813953459E-2</v>
      </c>
      <c r="J118" s="3">
        <f t="shared" si="11"/>
        <v>16.34</v>
      </c>
      <c r="K118" s="11">
        <f t="shared" si="16"/>
        <v>16.476000199999998</v>
      </c>
      <c r="L118" s="11">
        <f t="shared" si="18"/>
        <v>16.105000100000005</v>
      </c>
      <c r="M118">
        <f t="shared" si="12"/>
        <v>2.0700000000000003</v>
      </c>
      <c r="N118">
        <f t="shared" si="17"/>
        <v>2.3478939704906998</v>
      </c>
      <c r="O118">
        <f t="shared" si="13"/>
        <v>16.61</v>
      </c>
      <c r="P118">
        <f t="shared" si="19"/>
        <v>15.912500083333336</v>
      </c>
      <c r="Q118">
        <f t="shared" si="14"/>
        <v>16.605902063853012</v>
      </c>
      <c r="R118">
        <v>-19361.629160077991</v>
      </c>
    </row>
    <row r="119" spans="1:18" ht="15.5" x14ac:dyDescent="0.35">
      <c r="A119">
        <v>118</v>
      </c>
      <c r="C119" s="8">
        <v>45383</v>
      </c>
      <c r="D119" s="9">
        <v>16.48</v>
      </c>
      <c r="E119" s="9">
        <v>16.670000000000002</v>
      </c>
      <c r="F119" s="9">
        <v>13.8</v>
      </c>
      <c r="G119" s="9">
        <v>14.82</v>
      </c>
      <c r="H119" s="10" t="str">
        <f t="shared" si="10"/>
        <v>Apr-24</v>
      </c>
      <c r="I119" s="4">
        <f t="shared" si="15"/>
        <v>1.7543859649122792E-2</v>
      </c>
      <c r="J119" s="3">
        <f t="shared" si="11"/>
        <v>14.82</v>
      </c>
      <c r="K119" s="11">
        <f t="shared" si="16"/>
        <v>16.428000200000003</v>
      </c>
      <c r="L119" s="11">
        <f t="shared" si="18"/>
        <v>15.704000099999998</v>
      </c>
      <c r="M119">
        <f t="shared" si="12"/>
        <v>2.870000000000001</v>
      </c>
      <c r="N119">
        <f t="shared" si="17"/>
        <v>2.1661806037355635</v>
      </c>
      <c r="O119">
        <f t="shared" si="13"/>
        <v>14.8</v>
      </c>
      <c r="P119">
        <f t="shared" si="19"/>
        <v>15.709166666666667</v>
      </c>
      <c r="Q119">
        <f t="shared" si="14"/>
        <v>17.175808761902406</v>
      </c>
      <c r="R119">
        <v>-19374.906714386983</v>
      </c>
    </row>
    <row r="120" spans="1:18" ht="15.5" x14ac:dyDescent="0.35">
      <c r="A120">
        <v>119</v>
      </c>
      <c r="C120" s="8">
        <v>45413</v>
      </c>
      <c r="D120" s="9">
        <v>14.63</v>
      </c>
      <c r="E120" s="9">
        <v>16.239999999999998</v>
      </c>
      <c r="F120" s="9">
        <v>13.98</v>
      </c>
      <c r="G120" s="9">
        <v>15.08</v>
      </c>
      <c r="H120" s="10" t="str">
        <f t="shared" si="10"/>
        <v>May-24</v>
      </c>
      <c r="I120" s="4">
        <f t="shared" si="15"/>
        <v>8.6869960212201558E-2</v>
      </c>
      <c r="J120" s="3">
        <f t="shared" si="11"/>
        <v>15.08</v>
      </c>
      <c r="K120" s="11">
        <f t="shared" si="16"/>
        <v>15.736000000000001</v>
      </c>
      <c r="L120" s="11">
        <f t="shared" si="18"/>
        <v>15.328000100000002</v>
      </c>
      <c r="M120">
        <f t="shared" si="12"/>
        <v>2.259999999999998</v>
      </c>
      <c r="N120">
        <f t="shared" si="17"/>
        <v>1.8670287275061817</v>
      </c>
      <c r="O120">
        <f t="shared" si="13"/>
        <v>14.98</v>
      </c>
      <c r="P120">
        <f t="shared" si="19"/>
        <v>15.613324916666668</v>
      </c>
      <c r="Q120">
        <f t="shared" si="14"/>
        <v>15.358002914675891</v>
      </c>
      <c r="R120">
        <v>-19387.755960492457</v>
      </c>
    </row>
    <row r="121" spans="1:18" ht="15.5" x14ac:dyDescent="0.35">
      <c r="A121">
        <v>120</v>
      </c>
      <c r="C121" s="8">
        <v>45444</v>
      </c>
      <c r="D121" s="9">
        <v>15.21</v>
      </c>
      <c r="E121" s="9">
        <v>17.07</v>
      </c>
      <c r="F121" s="9">
        <v>14.98</v>
      </c>
      <c r="G121" s="9">
        <v>16.389999</v>
      </c>
      <c r="H121" s="10" t="str">
        <f t="shared" si="10"/>
        <v>Jun-24</v>
      </c>
      <c r="I121" s="4">
        <f t="shared" si="15"/>
        <v>7.9310560055555895E-2</v>
      </c>
      <c r="J121" s="3">
        <f t="shared" si="11"/>
        <v>17.039949</v>
      </c>
      <c r="K121" s="11">
        <f t="shared" si="16"/>
        <v>15.6979998</v>
      </c>
      <c r="L121" s="11">
        <f t="shared" si="18"/>
        <v>15.385</v>
      </c>
      <c r="M121">
        <f t="shared" si="12"/>
        <v>2.09</v>
      </c>
      <c r="N121">
        <f t="shared" si="17"/>
        <v>1.8922489353500971</v>
      </c>
      <c r="O121">
        <f t="shared" si="13"/>
        <v>15.98</v>
      </c>
      <c r="P121" t="str">
        <f t="shared" si="19"/>
        <v/>
      </c>
      <c r="Q121">
        <f t="shared" si="14"/>
        <v>15.927909612725285</v>
      </c>
      <c r="R121">
        <v>-19401.033514801446</v>
      </c>
    </row>
    <row r="122" spans="1:18" ht="15.5" x14ac:dyDescent="0.35">
      <c r="A122">
        <v>121</v>
      </c>
      <c r="C122" s="8">
        <v>45468</v>
      </c>
      <c r="D122" s="9">
        <v>17.02</v>
      </c>
      <c r="E122" s="9">
        <v>17.760000000000002</v>
      </c>
      <c r="F122" s="9">
        <v>16.66</v>
      </c>
      <c r="G122" s="9">
        <v>17.689899</v>
      </c>
      <c r="H122" s="10" t="str">
        <f t="shared" si="10"/>
        <v>Jun-24</v>
      </c>
      <c r="I122" s="4">
        <f t="shared" si="15"/>
        <v>-1</v>
      </c>
      <c r="J122" s="3">
        <f t="shared" si="11"/>
        <v>17.039949</v>
      </c>
      <c r="K122" s="11">
        <f t="shared" si="16"/>
        <v>16.0639796</v>
      </c>
      <c r="L122" s="11">
        <f t="shared" si="18"/>
        <v>15.781989899999999</v>
      </c>
      <c r="M122" s="11">
        <f t="shared" si="12"/>
        <v>1.1000000000000014</v>
      </c>
      <c r="N122">
        <f t="shared" si="17"/>
        <v>1.920352366195772</v>
      </c>
      <c r="O122" s="11">
        <f t="shared" si="13"/>
        <v>17.66</v>
      </c>
      <c r="P122" t="str">
        <f t="shared" si="19"/>
        <v/>
      </c>
      <c r="Q122">
        <f t="shared" si="14"/>
        <v>17.706411549741496</v>
      </c>
      <c r="R122">
        <v>-19411.312911685825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SYEDA FATIMA</dc:creator>
  <cp:lastModifiedBy>SYEDA FATIMA</cp:lastModifiedBy>
  <dcterms:created xsi:type="dcterms:W3CDTF">2026-03-16T20:13:30Z</dcterms:created>
  <dcterms:modified xsi:type="dcterms:W3CDTF">2026-03-16T20:17:06Z</dcterms:modified>
</cp:coreProperties>
</file>